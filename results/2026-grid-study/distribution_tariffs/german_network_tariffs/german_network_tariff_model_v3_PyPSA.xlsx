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PyPSA_Cover" sheetId="1" state="visible" r:id="rId1"/>
    <sheet xmlns:r="http://schemas.openxmlformats.org/officeDocument/2006/relationships" name="Inputs_PyPSA_DE" sheetId="2" state="visible" r:id="rId2"/>
    <sheet xmlns:r="http://schemas.openxmlformats.org/officeDocument/2006/relationships" name="PyPSA_Mapping" sheetId="3" state="visible" r:id="rId3"/>
    <sheet xmlns:r="http://schemas.openxmlformats.org/officeDocument/2006/relationships" name="PyPSA_Comparison" sheetId="4" state="visible" r:id="rId4"/>
    <sheet xmlns:r="http://schemas.openxmlformats.org/officeDocument/2006/relationships" name="PyPSA_RAB_recommended" sheetId="5" state="visible" r:id="rId5"/>
    <sheet xmlns:r="http://schemas.openxmlformats.org/officeDocument/2006/relationships" name="PyPSA_Methodology" sheetId="6" state="visible" r:id="rId6"/>
    <sheet xmlns:r="http://schemas.openxmlformats.org/officeDocument/2006/relationships" name="Parameters" sheetId="7" state="visible" r:id="rId7"/>
    <sheet xmlns:r="http://schemas.openxmlformats.org/officeDocument/2006/relationships" name="RAB &amp; Cost Build-up" sheetId="8" state="visible" r:id="rId8"/>
    <sheet xmlns:r="http://schemas.openxmlformats.org/officeDocument/2006/relationships" name="Tariff Results" sheetId="9" state="visible" r:id="rId9"/>
    <sheet xmlns:r="http://schemas.openxmlformats.org/officeDocument/2006/relationships" name="Scenario Comparison" sheetId="10" state="visible" r:id="rId10"/>
    <sheet xmlns:r="http://schemas.openxmlformats.org/officeDocument/2006/relationships" name="Methodology Note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5">
    <numFmt numFmtId="164" formatCode="#,##0.0&quot; bn €&quot;"/>
    <numFmt numFmtId="165" formatCode="#,##0.0&quot; TWh&quot;"/>
    <numFmt numFmtId="166" formatCode="0.00&quot;×&quot;"/>
    <numFmt numFmtId="167" formatCode="0.00&quot; ct/kWh&quot;"/>
    <numFmt numFmtId="168" formatCode="0.0000&quot; €/kWh&quot;"/>
  </numFmts>
  <fonts count="2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i val="1"/>
      <color rgb="FFFFFFFF"/>
      <sz val="10"/>
    </font>
    <font>
      <name val="Calibri"/>
      <b val="1"/>
      <color rgb="FF1F3864"/>
      <sz val="10"/>
    </font>
    <font>
      <name val="Calibri"/>
      <color rgb="FF000000"/>
      <sz val="10"/>
    </font>
    <font>
      <name val="Calibri"/>
      <b val="1"/>
      <color rgb="FF000000"/>
      <sz val="10"/>
    </font>
    <font>
      <name val="Calibri"/>
      <color rgb="FF595959"/>
      <sz val="9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b val="1"/>
      <color rgb="FF1F3864"/>
      <sz val="11"/>
    </font>
    <font>
      <name val="Calibri"/>
      <b val="1"/>
      <color rgb="FF1F3864"/>
      <sz val="9"/>
    </font>
    <font>
      <name val="Calibri"/>
      <b val="1"/>
      <color rgb="FFFFFFFF"/>
      <sz val="9"/>
    </font>
    <font>
      <name val="Calibri"/>
      <b val="1"/>
      <color rgb="FF7F4F00"/>
      <sz val="9"/>
    </font>
    <font>
      <name val="Calibri"/>
      <color rgb="FF000000"/>
      <sz val="9"/>
    </font>
    <font>
      <name val="Calibri"/>
      <b val="1"/>
      <color rgb="FF000000"/>
      <sz val="9"/>
    </font>
    <font>
      <name val="Calibri"/>
      <color rgb="FFFFFFFF"/>
      <sz val="9"/>
    </font>
    <font>
      <name val="Calibri"/>
      <color rgb="FF404040"/>
      <sz val="9"/>
    </font>
    <font>
      <name val="Calibri"/>
      <b val="1"/>
      <color rgb="FFFFFFFF"/>
      <sz val="12"/>
    </font>
    <font>
      <name val="Calibri"/>
      <b val="1"/>
      <color rgb="FF7F4F00"/>
      <sz val="12"/>
    </font>
    <font>
      <name val="Calibri"/>
      <b val="1"/>
      <color rgb="FF1F3864"/>
      <sz val="12"/>
    </font>
    <font>
      <name val="Calibri"/>
      <b val="1"/>
      <color rgb="FF7F4F00"/>
      <sz val="10"/>
    </font>
    <font>
      <name val="Calibri"/>
      <b val="1"/>
      <i val="1"/>
      <color rgb="FF7F4F00"/>
      <sz val="10"/>
    </font>
    <font>
      <name val="Calibri"/>
      <b val="1"/>
      <color rgb="FFFFFFFF"/>
      <sz val="13"/>
    </font>
    <font>
      <name val="Calibri"/>
      <color rgb="FF1A1A1A"/>
      <sz val="9"/>
    </font>
    <font>
      <b val="1"/>
      <sz val="14"/>
    </font>
    <font>
      <b val="1"/>
      <color rgb="00FFFFFF"/>
    </font>
  </fonts>
  <fills count="17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538135"/>
      </patternFill>
    </fill>
    <fill>
      <patternFill patternType="solid">
        <fgColor rgb="FFFFEB9C"/>
      </patternFill>
    </fill>
    <fill>
      <patternFill patternType="solid">
        <fgColor rgb="FFE2EFDA"/>
      </patternFill>
    </fill>
    <fill>
      <patternFill patternType="solid">
        <fgColor rgb="FFFFC000"/>
      </patternFill>
    </fill>
    <fill>
      <patternFill patternType="solid">
        <fgColor rgb="FFFFFFF0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4" fillId="5" borderId="1" applyAlignment="1" pivotButton="0" quotePrefix="0" xfId="0">
      <alignment horizontal="left" vertical="center" wrapText="1"/>
    </xf>
    <xf numFmtId="1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center" vertical="center"/>
    </xf>
    <xf numFmtId="49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6" fontId="5" fillId="6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10" fillId="8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1" fontId="12" fillId="10" borderId="1" applyAlignment="1" pivotButton="0" quotePrefix="0" xfId="0">
      <alignment horizontal="center" vertical="center"/>
    </xf>
    <xf numFmtId="164" fontId="12" fillId="10" borderId="1" applyAlignment="1" pivotButton="0" quotePrefix="0" xfId="0">
      <alignment horizontal="center" vertical="center"/>
    </xf>
    <xf numFmtId="165" fontId="12" fillId="10" borderId="1" applyAlignment="1" pivotButton="0" quotePrefix="0" xfId="0">
      <alignment horizontal="center" vertical="center"/>
    </xf>
    <xf numFmtId="167" fontId="12" fillId="10" borderId="1" applyAlignment="1" pivotButton="0" quotePrefix="0" xfId="0">
      <alignment horizontal="center" vertical="center"/>
    </xf>
    <xf numFmtId="1" fontId="13" fillId="5" borderId="1" applyAlignment="1" pivotButton="0" quotePrefix="0" xfId="0">
      <alignment horizontal="center" vertical="center"/>
    </xf>
    <xf numFmtId="164" fontId="13" fillId="5" borderId="1" applyAlignment="1" pivotButton="0" quotePrefix="0" xfId="0">
      <alignment horizontal="center" vertical="center"/>
    </xf>
    <xf numFmtId="165" fontId="13" fillId="5" borderId="1" applyAlignment="1" pivotButton="0" quotePrefix="0" xfId="0">
      <alignment horizontal="center" vertical="center"/>
    </xf>
    <xf numFmtId="167" fontId="13" fillId="5" borderId="1" applyAlignment="1" pivotButton="0" quotePrefix="0" xfId="0">
      <alignment horizontal="center" vertical="center"/>
    </xf>
    <xf numFmtId="1" fontId="13" fillId="7" borderId="1" applyAlignment="1" pivotButton="0" quotePrefix="0" xfId="0">
      <alignment horizontal="center" vertical="center"/>
    </xf>
    <xf numFmtId="164" fontId="13" fillId="7" borderId="1" applyAlignment="1" pivotButton="0" quotePrefix="0" xfId="0">
      <alignment horizontal="center" vertical="center"/>
    </xf>
    <xf numFmtId="165" fontId="13" fillId="7" borderId="1" applyAlignment="1" pivotButton="0" quotePrefix="0" xfId="0">
      <alignment horizontal="center" vertical="center"/>
    </xf>
    <xf numFmtId="167" fontId="13" fillId="7" borderId="1" applyAlignment="1" pivotButton="0" quotePrefix="0" xfId="0">
      <alignment horizontal="center" vertical="center"/>
    </xf>
    <xf numFmtId="1" fontId="11" fillId="2" borderId="1" applyAlignment="1" pivotButton="0" quotePrefix="0" xfId="0">
      <alignment horizontal="center" vertical="center"/>
    </xf>
    <xf numFmtId="164" fontId="14" fillId="8" borderId="1" applyAlignment="1" pivotButton="0" quotePrefix="0" xfId="0">
      <alignment horizontal="center" vertical="center"/>
    </xf>
    <xf numFmtId="165" fontId="14" fillId="8" borderId="1" applyAlignment="1" pivotButton="0" quotePrefix="0" xfId="0">
      <alignment horizontal="center" vertical="center"/>
    </xf>
    <xf numFmtId="167" fontId="14" fillId="8" borderId="1" applyAlignment="1" pivotButton="0" quotePrefix="0" xfId="0">
      <alignment horizontal="center" vertical="center"/>
    </xf>
    <xf numFmtId="164" fontId="14" fillId="4" borderId="1" applyAlignment="1" pivotButton="0" quotePrefix="0" xfId="0">
      <alignment horizontal="center" vertical="center"/>
    </xf>
    <xf numFmtId="165" fontId="14" fillId="4" borderId="1" applyAlignment="1" pivotButton="0" quotePrefix="0" xfId="0">
      <alignment horizontal="center" vertical="center"/>
    </xf>
    <xf numFmtId="167" fontId="14" fillId="4" borderId="1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5" fontId="14" fillId="11" borderId="1" applyAlignment="1" pivotButton="0" quotePrefix="0" xfId="0">
      <alignment horizontal="center" vertical="center"/>
    </xf>
    <xf numFmtId="167" fontId="14" fillId="11" borderId="1" applyAlignment="1" pivotButton="0" quotePrefix="0" xfId="0">
      <alignment horizontal="center" vertical="center"/>
    </xf>
    <xf numFmtId="1" fontId="15" fillId="2" borderId="1" applyAlignment="1" pivotButton="0" quotePrefix="0" xfId="0">
      <alignment horizontal="center" vertical="center"/>
    </xf>
    <xf numFmtId="1" fontId="10" fillId="1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167" fontId="14" fillId="5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left" vertical="center"/>
    </xf>
    <xf numFmtId="168" fontId="12" fillId="10" borderId="1" applyAlignment="1" pivotButton="0" quotePrefix="0" xfId="0">
      <alignment horizontal="center" vertical="center"/>
    </xf>
    <xf numFmtId="168" fontId="13" fillId="7" borderId="1" applyAlignment="1" pivotButton="0" quotePrefix="0" xfId="0">
      <alignment horizontal="center" vertical="center"/>
    </xf>
    <xf numFmtId="168" fontId="14" fillId="8" borderId="1" applyAlignment="1" pivotButton="0" quotePrefix="0" xfId="0">
      <alignment horizontal="center" vertical="center"/>
    </xf>
    <xf numFmtId="168" fontId="14" fillId="4" borderId="1" applyAlignment="1" pivotButton="0" quotePrefix="0" xfId="0">
      <alignment horizontal="center" vertical="center"/>
    </xf>
    <xf numFmtId="168" fontId="14" fillId="11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168" fontId="20" fillId="10" borderId="1" applyAlignment="1" pivotButton="0" quotePrefix="0" xfId="0">
      <alignment horizontal="center" vertical="center"/>
    </xf>
    <xf numFmtId="168" fontId="4" fillId="7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8" fontId="4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8" fontId="5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top" wrapText="1"/>
    </xf>
    <xf numFmtId="0" fontId="23" fillId="7" borderId="1" applyAlignment="1" pivotButton="0" quotePrefix="0" xfId="0">
      <alignment horizontal="left" vertical="top" wrapText="1"/>
    </xf>
    <xf numFmtId="0" fontId="12" fillId="6" borderId="1" applyAlignment="1" pivotButton="0" quotePrefix="0" xfId="0">
      <alignment horizontal="center" vertical="top" wrapText="1"/>
    </xf>
    <xf numFmtId="0" fontId="23" fillId="13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left" vertical="center" indent="1"/>
    </xf>
    <xf numFmtId="0" fontId="0" fillId="0" borderId="0" pivotButton="0" quotePrefix="0" xfId="0"/>
    <xf numFmtId="0" fontId="7" fillId="3" borderId="1" applyAlignment="1" pivotButton="0" quotePrefix="0" xfId="0">
      <alignment horizontal="left" vertical="center" indent="1"/>
    </xf>
    <xf numFmtId="0" fontId="7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center" indent="1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21" fillId="10" borderId="1" applyAlignment="1" pivotButton="0" quotePrefix="0" xfId="0">
      <alignment horizontal="left" vertical="center" indent="2"/>
    </xf>
    <xf numFmtId="0" fontId="19" fillId="12" borderId="1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18" fillId="10" borderId="1" applyAlignment="1" pivotButton="0" quotePrefix="0" xfId="0">
      <alignment horizontal="center" vertical="center"/>
    </xf>
    <xf numFmtId="0" fontId="22" fillId="2" borderId="0" applyAlignment="1" pivotButton="0" quotePrefix="0" xfId="0">
      <alignment horizontal="center" vertical="center"/>
    </xf>
    <xf numFmtId="0" fontId="24" fillId="0" borderId="0" pivotButton="0" quotePrefix="0" xfId="0"/>
    <xf numFmtId="0" fontId="25" fillId="14" borderId="0" applyAlignment="1" pivotButton="0" quotePrefix="0" xfId="0">
      <alignment horizontal="center" vertical="center" wrapText="1"/>
    </xf>
    <xf numFmtId="0" fontId="0" fillId="15" borderId="0" pivotButton="0" quotePrefix="0" xfId="0"/>
    <xf numFmtId="0" fontId="0" fillId="16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62" customWidth="1" style="59" min="1" max="1"/>
    <col width="70" customWidth="1" style="59" min="2" max="2"/>
  </cols>
  <sheetData>
    <row r="1">
      <c r="A1" s="74" t="inlineStr">
        <is>
          <t>German network-tariff model — PyPSA physical overlay</t>
        </is>
      </c>
    </row>
    <row r="2">
      <c r="A2" t="inlineStr">
        <is>
          <t>Original workbook is unchanged. This file is a copy.</t>
        </is>
      </c>
    </row>
    <row r="3">
      <c r="A3" t="inlineStr"/>
    </row>
    <row r="4">
      <c r="A4" t="inlineStr">
        <is>
          <t>Financial baseline (Excel, not PyPSA)</t>
        </is>
      </c>
    </row>
    <row r="5">
      <c r="A5" t="inlineStr">
        <is>
          <t>Opening RAB 2023 (bn €)</t>
        </is>
      </c>
      <c r="B5" t="n">
        <v>186</v>
      </c>
    </row>
    <row r="6">
      <c r="A6" t="inlineStr">
        <is>
          <t>WACC to 2028 / from 2029</t>
        </is>
      </c>
      <c r="B6" t="inlineStr">
        <is>
          <t>0.0504 / 0.0550</t>
        </is>
      </c>
    </row>
    <row r="7">
      <c r="A7" t="inlineStr">
        <is>
          <t>Depreciation rate</t>
        </is>
      </c>
      <c r="B7" t="n">
        <v>0.03</v>
      </c>
    </row>
    <row r="8">
      <c r="A8" t="inlineStr">
        <is>
          <t>OPEX path</t>
        </is>
      </c>
      <c r="B8" t="inlineStr">
        <is>
          <t>Excel Scenario B (15→27 bn, same in every PyPSA case)</t>
        </is>
      </c>
    </row>
    <row r="9">
      <c r="A9" t="inlineStr">
        <is>
          <t>Inv_base</t>
        </is>
      </c>
      <c r="B9" t="inlineStr">
        <is>
          <t>Excel Scenario B IMK schedule</t>
        </is>
      </c>
    </row>
    <row r="10">
      <c r="A10" t="inlineStr">
        <is>
          <t>VNB / ÜNB split of Inv_base</t>
        </is>
      </c>
      <c r="B10" t="inlineStr">
        <is>
          <t>0.4211 / 0.5789 (14.4 / 19.8 of 34.2)</t>
        </is>
      </c>
    </row>
    <row r="11">
      <c r="A11" t="inlineStr"/>
    </row>
    <row r="12">
      <c r="A12" t="inlineStr">
        <is>
          <t>PyPSA used for</t>
        </is>
      </c>
    </row>
    <row r="13">
      <c r="A13" t="inlineStr">
        <is>
          <t>German DSO stock and peak HV→LV flow</t>
        </is>
      </c>
      <c r="B13" t="inlineStr">
        <is>
          <t>investment scaling (VNB share)</t>
        </is>
      </c>
    </row>
    <row r="14">
      <c r="A14" t="inlineStr">
        <is>
          <t>German TSO stock GW-km (internal 100%, cross-border 50%)</t>
        </is>
      </c>
      <c r="B14" t="inlineStr">
        <is>
          <t>investment scaling (ÜNB share)</t>
        </is>
      </c>
    </row>
    <row r="15">
      <c r="A15" t="inlineStr">
        <is>
          <t>German end-use electricity TWh</t>
        </is>
      </c>
      <c r="B15" t="inlineStr">
        <is>
          <t>tariff denominator</t>
        </is>
      </c>
    </row>
    <row r="16">
      <c r="A16" t="inlineStr"/>
    </row>
    <row r="17">
      <c r="A17" t="inlineStr">
        <is>
          <t>PyPSA NOT used for</t>
        </is>
      </c>
    </row>
    <row r="18">
      <c r="A18" t="inlineStr">
        <is>
          <t>Absolute DSO/TSO CAPEX euros</t>
        </is>
      </c>
      <c r="B18" t="inlineStr">
        <is>
          <t>too aggregated</t>
        </is>
      </c>
    </row>
    <row r="19">
      <c r="A19" t="inlineStr">
        <is>
          <t>Existing RAB, WACC, OPEX, historical investment</t>
        </is>
      </c>
      <c r="B19" t="inlineStr">
        <is>
          <t>Excel / BNetzA / BDEW / IMK</t>
        </is>
      </c>
    </row>
    <row r="20">
      <c r="A20" t="inlineStr">
        <is>
          <t>85/75/65/50% labels as German capacity</t>
        </is>
      </c>
      <c r="B20" t="inlineStr">
        <is>
          <t>those are EU-wide DSO budget caps</t>
        </is>
      </c>
    </row>
    <row r="21">
      <c r="A21" t="inlineStr"/>
    </row>
    <row r="22">
      <c r="A22" t="inlineStr">
        <is>
          <t>Recommended case</t>
        </is>
      </c>
      <c r="B22" t="inlineStr">
        <is>
          <t>E_tso_dso_split (sheet PyPSA_RAB_recommended)</t>
        </is>
      </c>
    </row>
    <row r="23">
      <c r="A23" t="inlineStr">
        <is>
          <t>Comparison of all cases</t>
        </is>
      </c>
      <c r="B23" t="inlineStr">
        <is>
          <t>sheet PyPSA_Comparison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German physical quantities from solved PyPSA networks. DSO assets: costed links (carrier 'electricity distribution grid' and capital_cost&gt;0) at DE AC nodes. Absolute overnight CAPEX is context-only and is not written into Inv.</t>
        </is>
      </c>
    </row>
    <row r="3">
      <c r="A3" s="75" t="inlineStr">
        <is>
          <t>run</t>
        </is>
      </c>
      <c r="B3" s="75" t="inlineStr">
        <is>
          <t>scenario</t>
        </is>
      </c>
      <c r="C3" s="75" t="inlineStr">
        <is>
          <t>cap_fraction_label</t>
        </is>
      </c>
      <c r="D3" s="75" t="inlineStr">
        <is>
          <t>year</t>
        </is>
      </c>
      <c r="E3" s="75" t="inlineStr">
        <is>
          <t>de_ac_nodes</t>
        </is>
      </c>
      <c r="F3" s="75" t="inlineStr">
        <is>
          <t>conv_lv_twh</t>
        </is>
      </c>
      <c r="G3" s="75" t="inlineStr">
        <is>
          <t>industry_twh</t>
        </is>
      </c>
      <c r="H3" s="75" t="inlineStr">
        <is>
          <t>agriculture_twh</t>
        </is>
      </c>
      <c r="I3" s="75" t="inlineStr">
        <is>
          <t>datacentre_twh</t>
        </is>
      </c>
      <c r="J3" s="75" t="inlineStr">
        <is>
          <t>heat_pump_twh</t>
        </is>
      </c>
      <c r="K3" s="75" t="inlineStr">
        <is>
          <t>resistive_heater_twh</t>
        </is>
      </c>
      <c r="L3" s="75" t="inlineStr">
        <is>
          <t>bev_twh</t>
        </is>
      </c>
      <c r="M3" s="75" t="inlineStr">
        <is>
          <t>electrolysis_twh</t>
        </is>
      </c>
      <c r="N3" s="75" t="inlineStr">
        <is>
          <t>enduse_twh</t>
        </is>
      </c>
      <c r="O3" s="75" t="inlineStr">
        <is>
          <t>served_enduse_twh</t>
        </is>
      </c>
      <c r="P3" s="75" t="inlineStr">
        <is>
          <t>gross_incl_ptx_twh</t>
        </is>
      </c>
      <c r="Q3" s="75" t="inlineStr">
        <is>
          <t>rooftop_twh</t>
        </is>
      </c>
      <c r="R3" s="75" t="inlineStr">
        <is>
          <t>rooftop_gw</t>
        </is>
      </c>
      <c r="S3" s="75" t="inlineStr">
        <is>
          <t>rooftop_pmax_gw</t>
        </is>
      </c>
      <c r="T3" s="75" t="inlineStr">
        <is>
          <t>lv_shed_twh</t>
        </is>
      </c>
      <c r="U3" s="75" t="inlineStr">
        <is>
          <t>ev_shed_twh</t>
        </is>
      </c>
      <c r="V3" s="75" t="inlineStr">
        <is>
          <t>peak_enduse_gw</t>
        </is>
      </c>
      <c r="W3" s="75" t="inlineStr">
        <is>
          <t>peak_enduse_when</t>
        </is>
      </c>
      <c r="X3" s="75" t="inlineStr">
        <is>
          <t>dso_stock_gw</t>
        </is>
      </c>
      <c r="Y3" s="75" t="inlineStr">
        <is>
          <t>dso_new_gw</t>
        </is>
      </c>
      <c r="Z3" s="75" t="inlineStr">
        <is>
          <t>dso_hv_lv_twh</t>
        </is>
      </c>
      <c r="AA3" s="75" t="inlineStr">
        <is>
          <t>peak_dso_gw</t>
        </is>
      </c>
      <c r="AB3" s="75" t="inlineStr">
        <is>
          <t>peak_dso_when</t>
        </is>
      </c>
      <c r="AC3" s="75" t="inlineStr">
        <is>
          <t>dso_peak_util_pct</t>
        </is>
      </c>
      <c r="AD3" s="75" t="inlineStr">
        <is>
          <t>dso_headroom_gw</t>
        </is>
      </c>
      <c r="AE3" s="75" t="inlineStr">
        <is>
          <t>dso_new_ann_bn_context_only</t>
        </is>
      </c>
      <c r="AF3" s="75" t="inlineStr">
        <is>
          <t>dso_stock_ann_bn_context_only</t>
        </is>
      </c>
      <c r="AG3" s="75" t="inlineStr">
        <is>
          <t>eu_dso_new_ann_bn</t>
        </is>
      </c>
      <c r="AH3" s="75" t="inlineStr">
        <is>
          <t>eu_dso_stock_gw</t>
        </is>
      </c>
      <c r="AI3" s="75" t="inlineStr">
        <is>
          <t>eu_budget_bn</t>
        </is>
      </c>
      <c r="AJ3" s="75" t="inlineStr">
        <is>
          <t>eu_budget_slack_bn</t>
        </is>
      </c>
      <c r="AK3" s="75" t="inlineStr">
        <is>
          <t>eu_budget_binding</t>
        </is>
      </c>
      <c r="AL3" s="75" t="inlineStr">
        <is>
          <t>de_share_of_eu_dso_stock</t>
        </is>
      </c>
      <c r="AM3" s="75" t="inlineStr">
        <is>
          <t>ac_internal_stock_gw</t>
        </is>
      </c>
      <c r="AN3" s="75" t="inlineStr">
        <is>
          <t>ac_internal_new_gw</t>
        </is>
      </c>
      <c r="AO3" s="75" t="inlineStr">
        <is>
          <t>ac_xborder_stock_gw</t>
        </is>
      </c>
      <c r="AP3" s="75" t="inlineStr">
        <is>
          <t>ac_xborder_new_gw</t>
        </is>
      </c>
      <c r="AQ3" s="75" t="inlineStr">
        <is>
          <t>ac_vol_stock_gwkm</t>
        </is>
      </c>
      <c r="AR3" s="75" t="inlineStr">
        <is>
          <t>ac_vol_new_gwkm</t>
        </is>
      </c>
      <c r="AS3" s="75" t="inlineStr">
        <is>
          <t>dc_internal_stock_gw</t>
        </is>
      </c>
      <c r="AT3" s="75" t="inlineStr">
        <is>
          <t>dc_internal_new_gw</t>
        </is>
      </c>
      <c r="AU3" s="75" t="inlineStr">
        <is>
          <t>dc_xborder_stock_gw</t>
        </is>
      </c>
      <c r="AV3" s="75" t="inlineStr">
        <is>
          <t>dc_xborder_new_gw</t>
        </is>
      </c>
      <c r="AW3" s="75" t="inlineStr">
        <is>
          <t>dc_vol_stock_gwkm</t>
        </is>
      </c>
      <c r="AX3" s="75" t="inlineStr">
        <is>
          <t>dc_vol_new_gwkm</t>
        </is>
      </c>
      <c r="AY3" s="75" t="inlineStr">
        <is>
          <t>tso_vol_stock_gwkm</t>
        </is>
      </c>
      <c r="AZ3" s="75" t="inlineStr">
        <is>
          <t>tso_vol_new_gwkm</t>
        </is>
      </c>
      <c r="BA3" s="75" t="inlineStr">
        <is>
          <t>tso_ann_bn_context_only</t>
        </is>
      </c>
      <c r="BB3" s="75" t="inlineStr">
        <is>
          <t>tso_new_ann_bn_context_only</t>
        </is>
      </c>
      <c r="BC3" s="75" t="inlineStr">
        <is>
          <t>lv_limit_mu</t>
        </is>
      </c>
      <c r="BD3" s="75" t="inlineStr">
        <is>
          <t>dso_budget_dual</t>
        </is>
      </c>
    </row>
    <row r="4">
      <c r="A4" t="inlineStr">
        <is>
          <t>grid-build-2040</t>
        </is>
      </c>
      <c r="B4" t="inlineStr">
        <is>
          <t>Build</t>
        </is>
      </c>
      <c r="C4" t="n">
        <v>1</v>
      </c>
      <c r="D4" t="n">
        <v>2030</v>
      </c>
      <c r="E4" t="n">
        <v>3</v>
      </c>
      <c r="F4" t="n">
        <v>272.3553234817916</v>
      </c>
      <c r="G4" t="n">
        <v>214.12329911</v>
      </c>
      <c r="H4" t="n">
        <v>6.217610760119522</v>
      </c>
      <c r="I4" t="n">
        <v>25.9636109694284</v>
      </c>
      <c r="J4" t="n">
        <v>58.09640976390592</v>
      </c>
      <c r="K4" t="n">
        <v>28.77819472014779</v>
      </c>
      <c r="L4" t="n">
        <v>44.81210044400273</v>
      </c>
      <c r="M4" t="n">
        <v>0.003712669591172387</v>
      </c>
      <c r="N4" t="n">
        <v>650.3465492493959</v>
      </c>
      <c r="O4" t="n">
        <v>650.3465147820206</v>
      </c>
      <c r="P4" t="n">
        <v>650.3502619189871</v>
      </c>
      <c r="Q4" t="n">
        <v>133.2095877113281</v>
      </c>
      <c r="R4" t="n">
        <v>125.0301202062347</v>
      </c>
      <c r="S4" t="n">
        <v>164.6852155125149</v>
      </c>
      <c r="T4" t="n">
        <v>3.446737540567732e-05</v>
      </c>
      <c r="U4" t="n">
        <v>4.795348033536748e-05</v>
      </c>
      <c r="V4" t="n">
        <v>133.3078836435608</v>
      </c>
      <c r="W4" t="inlineStr">
        <is>
          <t>2019-04-16 08:00:00</t>
        </is>
      </c>
      <c r="X4" t="n">
        <v>77.52134955023627</v>
      </c>
      <c r="Y4" t="n">
        <v>77.52134955023627</v>
      </c>
      <c r="Z4" t="n">
        <v>515.9321054852131</v>
      </c>
      <c r="AA4" t="n">
        <v>75.19562595060088</v>
      </c>
      <c r="AB4" t="inlineStr">
        <is>
          <t>2019-01-08 14:00:00</t>
        </is>
      </c>
      <c r="AC4" t="n">
        <v>96.99989278678871</v>
      </c>
      <c r="AD4" t="n">
        <v>2.325723599635381</v>
      </c>
      <c r="AE4" t="n">
        <v>4.919253352990997</v>
      </c>
      <c r="AF4" t="n">
        <v>4.919253352990997</v>
      </c>
      <c r="AG4" t="n">
        <v>30.66580886136422</v>
      </c>
      <c r="AH4" t="n">
        <v>483.2552254169087</v>
      </c>
      <c r="AL4" t="n">
        <v>0.160414922535722</v>
      </c>
      <c r="AM4" t="n">
        <v>56.2870296470663</v>
      </c>
      <c r="AN4" t="n">
        <v>8.20390881178926</v>
      </c>
      <c r="AO4" t="n">
        <v>100.8345866165287</v>
      </c>
      <c r="AP4" t="n">
        <v>16.01881552161608</v>
      </c>
      <c r="AQ4" t="n">
        <v>35475.63399121651</v>
      </c>
      <c r="AR4" t="n">
        <v>4741.048923668867</v>
      </c>
      <c r="AS4" t="n">
        <v>0.07766069874828298</v>
      </c>
      <c r="AT4" t="n">
        <v>0.07766069874828298</v>
      </c>
      <c r="AU4" t="n">
        <v>7.641331837954241</v>
      </c>
      <c r="AV4" t="n">
        <v>0.4413318379542411</v>
      </c>
      <c r="AW4" t="n">
        <v>1266.485517379173</v>
      </c>
      <c r="AX4" t="n">
        <v>91.9617496545237</v>
      </c>
      <c r="AY4" t="n">
        <v>36742.11950859568</v>
      </c>
      <c r="AZ4" t="n">
        <v>4833.010673323391</v>
      </c>
      <c r="BA4" t="n">
        <v>2.818352139351151</v>
      </c>
      <c r="BB4" t="n">
        <v>0.345974639149958</v>
      </c>
      <c r="BC4" t="n">
        <v>-0.002414229955770313</v>
      </c>
      <c r="BD4" t="inlineStr">
        <is>
          <t>not stored in solved .nc</t>
        </is>
      </c>
    </row>
    <row r="5">
      <c r="A5" t="inlineStr">
        <is>
          <t>grid-inaction-2040-mild85</t>
        </is>
      </c>
      <c r="B5" t="inlineStr">
        <is>
          <t>85%</t>
        </is>
      </c>
      <c r="C5" t="n">
        <v>0.85</v>
      </c>
      <c r="D5" t="n">
        <v>2030</v>
      </c>
      <c r="E5" t="n">
        <v>3</v>
      </c>
      <c r="F5" t="n">
        <v>272.3553234817916</v>
      </c>
      <c r="G5" t="n">
        <v>214.12329911</v>
      </c>
      <c r="H5" t="n">
        <v>6.217610760119522</v>
      </c>
      <c r="I5" t="n">
        <v>25.9636109694284</v>
      </c>
      <c r="J5" t="n">
        <v>52.56214411575575</v>
      </c>
      <c r="K5" t="n">
        <v>25.47623964993597</v>
      </c>
      <c r="L5" t="n">
        <v>45.50393203770079</v>
      </c>
      <c r="M5" t="n">
        <v>0.003853646562944681</v>
      </c>
      <c r="N5" t="n">
        <v>642.202160124732</v>
      </c>
      <c r="O5" t="n">
        <v>642.202118978284</v>
      </c>
      <c r="P5" t="n">
        <v>642.2060137712949</v>
      </c>
      <c r="Q5" t="n">
        <v>133.0985401941587</v>
      </c>
      <c r="R5" t="n">
        <v>125.0432186940482</v>
      </c>
      <c r="S5" t="n">
        <v>164.6852155125149</v>
      </c>
      <c r="T5" t="n">
        <v>4.11464479868054e-05</v>
      </c>
      <c r="U5" t="n">
        <v>5.170878967890553e-05</v>
      </c>
      <c r="V5" t="n">
        <v>131.2668911308394</v>
      </c>
      <c r="W5" t="inlineStr">
        <is>
          <t>2019-04-16 08:00:00</t>
        </is>
      </c>
      <c r="X5" t="n">
        <v>73.14855482343131</v>
      </c>
      <c r="Y5" t="n">
        <v>73.14855482343131</v>
      </c>
      <c r="Z5" t="n">
        <v>507.2347290760693</v>
      </c>
      <c r="AA5" t="n">
        <v>70.9540842529581</v>
      </c>
      <c r="AB5" t="inlineStr">
        <is>
          <t>2019-01-08 14:00:00</t>
        </is>
      </c>
      <c r="AC5" t="n">
        <v>96.99998096234395</v>
      </c>
      <c r="AD5" t="n">
        <v>2.194470570473214</v>
      </c>
      <c r="AE5" t="n">
        <v>4.641769985549917</v>
      </c>
      <c r="AF5" t="n">
        <v>4.641769985549917</v>
      </c>
      <c r="AG5" t="n">
        <v>26.06597732695012</v>
      </c>
      <c r="AH5" t="n">
        <v>410.7675687210597</v>
      </c>
      <c r="AI5" t="n">
        <v>26.066</v>
      </c>
      <c r="AJ5" t="n">
        <v>2.267304988379237e-05</v>
      </c>
      <c r="AK5" t="b">
        <v>1</v>
      </c>
      <c r="AL5" t="n">
        <v>0.1780777266598288</v>
      </c>
      <c r="AM5" t="n">
        <v>54.1462040129124</v>
      </c>
      <c r="AN5" t="n">
        <v>6.063083177635363</v>
      </c>
      <c r="AO5" t="n">
        <v>88.63471447104315</v>
      </c>
      <c r="AP5" t="n">
        <v>3.818943376130516</v>
      </c>
      <c r="AQ5" t="n">
        <v>33511.63052479297</v>
      </c>
      <c r="AR5" t="n">
        <v>2777.045457245332</v>
      </c>
      <c r="AS5" t="n">
        <v>0.05278012751289383</v>
      </c>
      <c r="AT5" t="n">
        <v>0.05278012751289383</v>
      </c>
      <c r="AU5" t="n">
        <v>9.997978485161624</v>
      </c>
      <c r="AV5" t="n">
        <v>2.797978485161624</v>
      </c>
      <c r="AW5" t="n">
        <v>1626.273200567333</v>
      </c>
      <c r="AX5" t="n">
        <v>451.7494328426836</v>
      </c>
      <c r="AY5" t="n">
        <v>35137.9037253603</v>
      </c>
      <c r="AZ5" t="n">
        <v>3228.794890088016</v>
      </c>
      <c r="BA5" t="n">
        <v>2.793588440135609</v>
      </c>
      <c r="BB5" t="n">
        <v>0.3212109399344156</v>
      </c>
      <c r="BC5" t="n">
        <v>-0.003302327412605774</v>
      </c>
      <c r="BD5" t="inlineStr">
        <is>
          <t>not stored in solved .nc</t>
        </is>
      </c>
    </row>
    <row r="6">
      <c r="A6" t="inlineStr">
        <is>
          <t>grid-inaction-2040-mild75</t>
        </is>
      </c>
      <c r="B6" t="inlineStr">
        <is>
          <t>75%</t>
        </is>
      </c>
      <c r="C6" t="n">
        <v>0.75</v>
      </c>
      <c r="D6" t="n">
        <v>2030</v>
      </c>
      <c r="E6" t="n">
        <v>3</v>
      </c>
      <c r="F6" t="n">
        <v>272.3553234817916</v>
      </c>
      <c r="G6" t="n">
        <v>214.12329911</v>
      </c>
      <c r="H6" t="n">
        <v>6.217610760119522</v>
      </c>
      <c r="I6" t="n">
        <v>25.9636109694284</v>
      </c>
      <c r="J6" t="n">
        <v>54.46223329519805</v>
      </c>
      <c r="K6" t="n">
        <v>36.79232372303613</v>
      </c>
      <c r="L6" t="n">
        <v>44.70641215388588</v>
      </c>
      <c r="M6" t="n">
        <v>0.005241826356421744</v>
      </c>
      <c r="N6" t="n">
        <v>654.6208134934595</v>
      </c>
      <c r="O6" t="n">
        <v>654.6207638874776</v>
      </c>
      <c r="P6" t="n">
        <v>654.6260553198159</v>
      </c>
      <c r="Q6" t="n">
        <v>172.2879043834178</v>
      </c>
      <c r="R6" t="n">
        <v>162.8822509539467</v>
      </c>
      <c r="S6" t="n">
        <v>164.6852155125149</v>
      </c>
      <c r="T6" t="n">
        <v>4.960598202998708e-05</v>
      </c>
      <c r="U6" t="n">
        <v>0.04543350277990439</v>
      </c>
      <c r="V6" t="n">
        <v>143.5325313243544</v>
      </c>
      <c r="W6" t="inlineStr">
        <is>
          <t>2019-02-27 09:00:00</t>
        </is>
      </c>
      <c r="X6" t="n">
        <v>70.56150915402884</v>
      </c>
      <c r="Y6" t="n">
        <v>70.56150915402884</v>
      </c>
      <c r="Z6" t="n">
        <v>481.5880636057075</v>
      </c>
      <c r="AA6" t="n">
        <v>68.44465565340461</v>
      </c>
      <c r="AB6" t="inlineStr">
        <is>
          <t>2019-01-08 14:00:00</t>
        </is>
      </c>
      <c r="AC6" t="n">
        <v>96.99998834208131</v>
      </c>
      <c r="AD6" t="n">
        <v>2.116853500624231</v>
      </c>
      <c r="AE6" t="n">
        <v>4.477604460086484</v>
      </c>
      <c r="AF6" t="n">
        <v>4.477604460086484</v>
      </c>
      <c r="AG6" t="n">
        <v>22.99999698513774</v>
      </c>
      <c r="AH6" t="n">
        <v>362.4515100152652</v>
      </c>
      <c r="AI6" t="n">
        <v>23</v>
      </c>
      <c r="AJ6" t="n">
        <v>3.01486225851022e-06</v>
      </c>
      <c r="AK6" t="b">
        <v>1</v>
      </c>
      <c r="AL6" t="n">
        <v>0.1946784803050125</v>
      </c>
      <c r="AM6" t="n">
        <v>51.47275085376891</v>
      </c>
      <c r="AN6" t="n">
        <v>3.389630018491883</v>
      </c>
      <c r="AO6" t="n">
        <v>86.7279436883526</v>
      </c>
      <c r="AP6" t="n">
        <v>1.912172593439932</v>
      </c>
      <c r="AQ6" t="n">
        <v>32274.98800931644</v>
      </c>
      <c r="AR6" t="n">
        <v>1540.402941768804</v>
      </c>
      <c r="AS6" t="n">
        <v>0.04296394691071688</v>
      </c>
      <c r="AT6" t="n">
        <v>0.04296394691071688</v>
      </c>
      <c r="AU6" t="n">
        <v>18.74607187753475</v>
      </c>
      <c r="AV6" t="n">
        <v>11.54607187753475</v>
      </c>
      <c r="AW6" t="n">
        <v>2838.55083197369</v>
      </c>
      <c r="AX6" t="n">
        <v>1664.027064249041</v>
      </c>
      <c r="AY6" t="n">
        <v>35113.53884129013</v>
      </c>
      <c r="AZ6" t="n">
        <v>3204.430006017845</v>
      </c>
      <c r="BA6" t="n">
        <v>3.07477621066167</v>
      </c>
      <c r="BB6" t="n">
        <v>0.6023987104604769</v>
      </c>
      <c r="BC6" t="n">
        <v>-0.002568504893782057</v>
      </c>
      <c r="BD6" t="inlineStr">
        <is>
          <t>not stored in solved .nc</t>
        </is>
      </c>
    </row>
    <row r="7">
      <c r="A7" t="inlineStr">
        <is>
          <t>grid-inaction-2040-mild65</t>
        </is>
      </c>
      <c r="B7" t="inlineStr">
        <is>
          <t>65%</t>
        </is>
      </c>
      <c r="C7" t="n">
        <v>0.65</v>
      </c>
      <c r="D7" t="n">
        <v>2030</v>
      </c>
      <c r="E7" t="n">
        <v>3</v>
      </c>
      <c r="F7" t="n">
        <v>272.3553234817916</v>
      </c>
      <c r="G7" t="n">
        <v>214.12329911</v>
      </c>
      <c r="H7" t="n">
        <v>6.217610760119522</v>
      </c>
      <c r="I7" t="n">
        <v>25.9636109694284</v>
      </c>
      <c r="J7" t="n">
        <v>50.80745789578086</v>
      </c>
      <c r="K7" t="n">
        <v>15.41742148996554</v>
      </c>
      <c r="L7" t="n">
        <v>41.42021380796902</v>
      </c>
      <c r="M7" t="n">
        <v>0.007272481182690038</v>
      </c>
      <c r="N7" t="n">
        <v>626.304937515055</v>
      </c>
      <c r="O7" t="n">
        <v>626.3048627287498</v>
      </c>
      <c r="P7" t="n">
        <v>626.3122099962377</v>
      </c>
      <c r="Q7" t="n">
        <v>174.2215246357839</v>
      </c>
      <c r="R7" t="n">
        <v>164.6852151381034</v>
      </c>
      <c r="S7" t="n">
        <v>164.6852155125149</v>
      </c>
      <c r="T7" t="n">
        <v>7.478630522544862e-05</v>
      </c>
      <c r="U7" t="n">
        <v>0.8071910302053569</v>
      </c>
      <c r="V7" t="n">
        <v>123.4418676693628</v>
      </c>
      <c r="W7" t="inlineStr">
        <is>
          <t>2019-02-27 09:00:00</t>
        </is>
      </c>
      <c r="X7" t="n">
        <v>61.8919376071597</v>
      </c>
      <c r="Y7" t="n">
        <v>61.8919376071597</v>
      </c>
      <c r="Z7" t="n">
        <v>454.786879655909</v>
      </c>
      <c r="AA7" t="n">
        <v>60.03517906916543</v>
      </c>
      <c r="AB7" t="inlineStr">
        <is>
          <t>2019-01-12 22:00:00</t>
        </is>
      </c>
      <c r="AC7" t="n">
        <v>96.99999933791138</v>
      </c>
      <c r="AD7" t="n">
        <v>1.856758537994274</v>
      </c>
      <c r="AE7" t="n">
        <v>3.927461574953993</v>
      </c>
      <c r="AF7" t="n">
        <v>3.927461574953993</v>
      </c>
      <c r="AG7" t="n">
        <v>19.93299938995618</v>
      </c>
      <c r="AH7" t="n">
        <v>314.1194206543375</v>
      </c>
      <c r="AI7" t="n">
        <v>19.933</v>
      </c>
      <c r="AJ7" t="n">
        <v>6.100438199041491e-07</v>
      </c>
      <c r="AK7" t="b">
        <v>1</v>
      </c>
      <c r="AL7" t="n">
        <v>0.1970331457960591</v>
      </c>
      <c r="AM7" t="n">
        <v>49.22484300972867</v>
      </c>
      <c r="AN7" t="n">
        <v>1.141722174451629</v>
      </c>
      <c r="AO7" t="n">
        <v>89.32761604592233</v>
      </c>
      <c r="AP7" t="n">
        <v>4.511844951009682</v>
      </c>
      <c r="AQ7" t="n">
        <v>32203.15047299774</v>
      </c>
      <c r="AR7" t="n">
        <v>1468.565405450096</v>
      </c>
      <c r="AS7" t="n">
        <v>0.0217286919690762</v>
      </c>
      <c r="AT7" t="n">
        <v>0.0217286919690762</v>
      </c>
      <c r="AU7" t="n">
        <v>7.207543538370015</v>
      </c>
      <c r="AV7" t="n">
        <v>0.007543538370014395</v>
      </c>
      <c r="AW7" t="n">
        <v>1180.48216965613</v>
      </c>
      <c r="AX7" t="n">
        <v>5.958401931480832</v>
      </c>
      <c r="AY7" t="n">
        <v>33383.63264265387</v>
      </c>
      <c r="AZ7" t="n">
        <v>1474.523807381576</v>
      </c>
      <c r="BA7" t="n">
        <v>2.572924650487483</v>
      </c>
      <c r="BB7" t="n">
        <v>0.10054715028629</v>
      </c>
      <c r="BC7" t="n">
        <v>-0.005514758085653904</v>
      </c>
      <c r="BD7" t="inlineStr">
        <is>
          <t>not stored in solved .nc</t>
        </is>
      </c>
    </row>
    <row r="8">
      <c r="A8" t="inlineStr">
        <is>
          <t>grid-inaction-2040-moderate</t>
        </is>
      </c>
      <c r="B8" t="inlineStr">
        <is>
          <t>50%</t>
        </is>
      </c>
      <c r="C8" t="n">
        <v>0.5</v>
      </c>
      <c r="D8" t="n">
        <v>2030</v>
      </c>
      <c r="E8" t="n">
        <v>3</v>
      </c>
      <c r="F8" t="n">
        <v>272.3553234817916</v>
      </c>
      <c r="G8" t="n">
        <v>214.12329911</v>
      </c>
      <c r="H8" t="n">
        <v>6.217610760119522</v>
      </c>
      <c r="I8" t="n">
        <v>25.9636109694284</v>
      </c>
      <c r="J8" t="n">
        <v>40.92159959978312</v>
      </c>
      <c r="K8" t="n">
        <v>0.002825281425541363</v>
      </c>
      <c r="L8" t="n">
        <v>22.14445899569501</v>
      </c>
      <c r="M8" t="n">
        <v>0.01979574635174403</v>
      </c>
      <c r="N8" t="n">
        <v>581.7287281982432</v>
      </c>
      <c r="O8" t="n">
        <v>562.0966169104183</v>
      </c>
      <c r="P8" t="n">
        <v>581.7485239445949</v>
      </c>
      <c r="Q8" t="n">
        <v>174.4012418754068</v>
      </c>
      <c r="R8" t="n">
        <v>164.6852156576225</v>
      </c>
      <c r="S8" t="n">
        <v>164.6852155125149</v>
      </c>
      <c r="T8" t="n">
        <v>19.63211128782479</v>
      </c>
      <c r="U8" t="n">
        <v>16.58661701796037</v>
      </c>
      <c r="V8" t="n">
        <v>102.5836619514653</v>
      </c>
      <c r="W8" t="inlineStr">
        <is>
          <t>2019-04-09 08:00:00</t>
        </is>
      </c>
      <c r="X8" t="n">
        <v>46.38359987976452</v>
      </c>
      <c r="Y8" t="n">
        <v>46.38359987976452</v>
      </c>
      <c r="Z8" t="n">
        <v>390.2007215922749</v>
      </c>
      <c r="AA8" t="n">
        <v>44.99209155309669</v>
      </c>
      <c r="AB8" t="inlineStr">
        <is>
          <t>2019-12-22 20:00:00</t>
        </is>
      </c>
      <c r="AC8" t="n">
        <v>96.99999928794898</v>
      </c>
      <c r="AD8" t="n">
        <v>1.391508326667832</v>
      </c>
      <c r="AE8" t="n">
        <v>2.943352773863428</v>
      </c>
      <c r="AF8" t="n">
        <v>2.943352773863428</v>
      </c>
      <c r="AG8" t="n">
        <v>15.33299986096236</v>
      </c>
      <c r="AH8" t="n">
        <v>241.6291165716594</v>
      </c>
      <c r="AI8" t="n">
        <v>15.333</v>
      </c>
      <c r="AJ8" t="n">
        <v>1.390376365151269e-07</v>
      </c>
      <c r="AK8" t="b">
        <v>1</v>
      </c>
      <c r="AL8" t="n">
        <v>0.1919619644266201</v>
      </c>
      <c r="AM8" t="n">
        <v>48.08653984194236</v>
      </c>
      <c r="AN8" t="n">
        <v>0.003419006665320922</v>
      </c>
      <c r="AO8" t="n">
        <v>86.42803013287958</v>
      </c>
      <c r="AP8" t="n">
        <v>1.612259037966953</v>
      </c>
      <c r="AQ8" t="n">
        <v>31070.81592005294</v>
      </c>
      <c r="AR8" t="n">
        <v>336.2308525053008</v>
      </c>
      <c r="AS8" t="n">
        <v>0.009418175402185437</v>
      </c>
      <c r="AT8" t="n">
        <v>0.009418175402185437</v>
      </c>
      <c r="AU8" t="n">
        <v>7.202340084716699</v>
      </c>
      <c r="AV8" t="n">
        <v>0.002340084716699528</v>
      </c>
      <c r="AW8" t="n">
        <v>1176.954555807921</v>
      </c>
      <c r="AX8" t="n">
        <v>2.430788083272425</v>
      </c>
      <c r="AY8" t="n">
        <v>32247.77047586086</v>
      </c>
      <c r="AZ8" t="n">
        <v>338.6616405885732</v>
      </c>
      <c r="BA8" t="n">
        <v>2.495612808262855</v>
      </c>
      <c r="BB8" t="n">
        <v>0.02323530806166263</v>
      </c>
      <c r="BC8" t="n">
        <v>-0.002521294706703795</v>
      </c>
      <c r="BD8" t="inlineStr">
        <is>
          <t>not stored in solved .nc</t>
        </is>
      </c>
    </row>
    <row r="9">
      <c r="A9" t="inlineStr">
        <is>
          <t>grid-build-2040</t>
        </is>
      </c>
      <c r="B9" t="inlineStr">
        <is>
          <t>Build</t>
        </is>
      </c>
      <c r="C9" t="n">
        <v>1</v>
      </c>
      <c r="D9" t="n">
        <v>2040</v>
      </c>
      <c r="E9" t="n">
        <v>3</v>
      </c>
      <c r="F9" t="n">
        <v>272.3553234817916</v>
      </c>
      <c r="G9" t="n">
        <v>271.43688311</v>
      </c>
      <c r="H9" t="n">
        <v>6.217610760119522</v>
      </c>
      <c r="I9" t="n">
        <v>57.39955225087477</v>
      </c>
      <c r="J9" t="n">
        <v>127.8923223366914</v>
      </c>
      <c r="K9" t="n">
        <v>93.36157320275233</v>
      </c>
      <c r="L9" t="n">
        <v>121.0860712883436</v>
      </c>
      <c r="M9" t="n">
        <v>64.41037541093286</v>
      </c>
      <c r="N9" t="n">
        <v>949.7493364305732</v>
      </c>
      <c r="O9" t="n">
        <v>949.7493127793089</v>
      </c>
      <c r="P9" t="n">
        <v>1014.159711841506</v>
      </c>
      <c r="Q9" t="n">
        <v>174.1219040891623</v>
      </c>
      <c r="R9" t="n">
        <v>164.6852061336121</v>
      </c>
      <c r="S9" t="n">
        <v>204.340310818795</v>
      </c>
      <c r="T9" t="n">
        <v>2.365126436063616e-05</v>
      </c>
      <c r="U9" t="n">
        <v>2.374947009667299e-05</v>
      </c>
      <c r="V9" t="n">
        <v>241.2675953767432</v>
      </c>
      <c r="W9" t="inlineStr">
        <is>
          <t>2019-04-15 08:00:00</t>
        </is>
      </c>
      <c r="X9" t="n">
        <v>138.1562756701306</v>
      </c>
      <c r="Y9" t="n">
        <v>60.63492611989427</v>
      </c>
      <c r="Z9" t="n">
        <v>774.2869111904625</v>
      </c>
      <c r="AA9" t="n">
        <v>134.0115757122618</v>
      </c>
      <c r="AB9" t="inlineStr">
        <is>
          <t>2019-01-23 08:00:00</t>
        </is>
      </c>
      <c r="AC9" t="n">
        <v>96.99999154018535</v>
      </c>
      <c r="AD9" t="n">
        <v>4.144699957868767</v>
      </c>
      <c r="AE9" t="n">
        <v>3.847695703882934</v>
      </c>
      <c r="AF9" t="n">
        <v>8.76694905687393</v>
      </c>
      <c r="AG9" t="n">
        <v>14.184433729148</v>
      </c>
      <c r="AH9" t="n">
        <v>706.784360101722</v>
      </c>
      <c r="AL9" t="n">
        <v>0.19547160841285</v>
      </c>
      <c r="AM9" t="n">
        <v>65.54048114782566</v>
      </c>
      <c r="AN9" t="n">
        <v>17.45736031254863</v>
      </c>
      <c r="AO9" t="n">
        <v>115.7609332163874</v>
      </c>
      <c r="AP9" t="n">
        <v>30.94516212147472</v>
      </c>
      <c r="AQ9" t="n">
        <v>41767.09797937534</v>
      </c>
      <c r="AR9" t="n">
        <v>11032.5129118277</v>
      </c>
      <c r="AS9" t="n">
        <v>39.14570184466422</v>
      </c>
      <c r="AT9" t="n">
        <v>39.14570184466422</v>
      </c>
      <c r="AU9" t="n">
        <v>22.89671018629587</v>
      </c>
      <c r="AV9" t="n">
        <v>15.69671018629588</v>
      </c>
      <c r="AW9" t="n">
        <v>11205.45618928485</v>
      </c>
      <c r="AX9" t="n">
        <v>10030.9324215602</v>
      </c>
      <c r="AY9" t="n">
        <v>52972.55416866019</v>
      </c>
      <c r="AZ9" t="n">
        <v>21063.44533338791</v>
      </c>
      <c r="BA9" t="n">
        <v>5.475978650296286</v>
      </c>
      <c r="BB9" t="n">
        <v>3.003519293365719</v>
      </c>
      <c r="BC9" t="n">
        <v>-0.00148126122576528</v>
      </c>
      <c r="BD9" t="inlineStr">
        <is>
          <t>not stored in solved .nc</t>
        </is>
      </c>
    </row>
    <row r="10">
      <c r="A10" t="inlineStr">
        <is>
          <t>grid-inaction-2040-mild85</t>
        </is>
      </c>
      <c r="B10" t="inlineStr">
        <is>
          <t>85%</t>
        </is>
      </c>
      <c r="C10" t="n">
        <v>0.85</v>
      </c>
      <c r="D10" t="n">
        <v>2040</v>
      </c>
      <c r="E10" t="n">
        <v>3</v>
      </c>
      <c r="F10" t="n">
        <v>272.3553234817916</v>
      </c>
      <c r="G10" t="n">
        <v>271.43688311</v>
      </c>
      <c r="H10" t="n">
        <v>6.217610760119522</v>
      </c>
      <c r="I10" t="n">
        <v>57.39955225087477</v>
      </c>
      <c r="J10" t="n">
        <v>125.710330926928</v>
      </c>
      <c r="K10" t="n">
        <v>63.58975870743333</v>
      </c>
      <c r="L10" t="n">
        <v>120.0201173202666</v>
      </c>
      <c r="M10" t="n">
        <v>78.47222352969679</v>
      </c>
      <c r="N10" t="n">
        <v>916.7295765574139</v>
      </c>
      <c r="O10" t="n">
        <v>916.7295570191085</v>
      </c>
      <c r="P10" t="n">
        <v>995.2018000871107</v>
      </c>
      <c r="Q10" t="n">
        <v>174.2171014684665</v>
      </c>
      <c r="R10" t="n">
        <v>164.6851974671121</v>
      </c>
      <c r="S10" t="n">
        <v>204.3272123309816</v>
      </c>
      <c r="T10" t="n">
        <v>1.953830536956028e-05</v>
      </c>
      <c r="U10" t="n">
        <v>2.069260800143334e-05</v>
      </c>
      <c r="V10" t="n">
        <v>217.1858497480111</v>
      </c>
      <c r="W10" t="inlineStr">
        <is>
          <t>2019-04-15 08:00:00</t>
        </is>
      </c>
      <c r="X10" t="n">
        <v>115.5822713818314</v>
      </c>
      <c r="Y10" t="n">
        <v>42.43371655840009</v>
      </c>
      <c r="Z10" t="n">
        <v>741.7607412020624</v>
      </c>
      <c r="AA10" t="n">
        <v>112.1147994820125</v>
      </c>
      <c r="AB10" t="inlineStr">
        <is>
          <t>2019-01-23 08:00:00</t>
        </is>
      </c>
      <c r="AC10" t="n">
        <v>96.99999674832139</v>
      </c>
      <c r="AD10" t="n">
        <v>3.467471899818932</v>
      </c>
      <c r="AE10" t="n">
        <v>2.692705992231311</v>
      </c>
      <c r="AF10" t="n">
        <v>7.334475977781228</v>
      </c>
      <c r="AG10" t="n">
        <v>12.05599836775346</v>
      </c>
      <c r="AH10" t="n">
        <v>600.7551941958569</v>
      </c>
      <c r="AI10" t="n">
        <v>12.056</v>
      </c>
      <c r="AJ10" t="n">
        <v>1.63224654414762e-06</v>
      </c>
      <c r="AK10" t="b">
        <v>1</v>
      </c>
      <c r="AL10" t="n">
        <v>0.192394959708246</v>
      </c>
      <c r="AM10" t="n">
        <v>65.44380175523317</v>
      </c>
      <c r="AN10" t="n">
        <v>17.36068091995613</v>
      </c>
      <c r="AO10" t="n">
        <v>111.8482748368324</v>
      </c>
      <c r="AP10" t="n">
        <v>27.03250374191972</v>
      </c>
      <c r="AQ10" t="n">
        <v>41762.52077205412</v>
      </c>
      <c r="AR10" t="n">
        <v>11027.93570450648</v>
      </c>
      <c r="AS10" t="n">
        <v>36.83204158849479</v>
      </c>
      <c r="AT10" t="n">
        <v>36.83204158849479</v>
      </c>
      <c r="AU10" t="n">
        <v>24.17457194550124</v>
      </c>
      <c r="AV10" t="n">
        <v>16.97457194550124</v>
      </c>
      <c r="AW10" t="n">
        <v>10897.89735168477</v>
      </c>
      <c r="AX10" t="n">
        <v>9723.373583960118</v>
      </c>
      <c r="AY10" t="n">
        <v>52660.41812373889</v>
      </c>
      <c r="AZ10" t="n">
        <v>20751.3092884666</v>
      </c>
      <c r="BA10" t="n">
        <v>5.408237698102575</v>
      </c>
      <c r="BB10" t="n">
        <v>2.935799516539705</v>
      </c>
      <c r="BC10" t="n">
        <v>-0.01521593109504535</v>
      </c>
      <c r="BD10" t="inlineStr">
        <is>
          <t>not stored in solved .nc</t>
        </is>
      </c>
    </row>
    <row r="11">
      <c r="A11" t="inlineStr">
        <is>
          <t>grid-inaction-2040-mild75</t>
        </is>
      </c>
      <c r="B11" t="inlineStr">
        <is>
          <t>75%</t>
        </is>
      </c>
      <c r="C11" t="n">
        <v>0.75</v>
      </c>
      <c r="D11" t="n">
        <v>2040</v>
      </c>
      <c r="E11" t="n">
        <v>3</v>
      </c>
      <c r="F11" t="n">
        <v>272.3553234817916</v>
      </c>
      <c r="G11" t="n">
        <v>271.43688311</v>
      </c>
      <c r="H11" t="n">
        <v>6.217610760119522</v>
      </c>
      <c r="I11" t="n">
        <v>57.39955225087477</v>
      </c>
      <c r="J11" t="n">
        <v>124.4831866739676</v>
      </c>
      <c r="K11" t="n">
        <v>39.57012531654424</v>
      </c>
      <c r="L11" t="n">
        <v>118.7095571844495</v>
      </c>
      <c r="M11" t="n">
        <v>74.66419833099511</v>
      </c>
      <c r="N11" t="n">
        <v>890.1722387777472</v>
      </c>
      <c r="O11" t="n">
        <v>890.1722110193546</v>
      </c>
      <c r="P11" t="n">
        <v>964.8364371087423</v>
      </c>
      <c r="Q11" t="n">
        <v>174.3222896779627</v>
      </c>
      <c r="R11" t="n">
        <v>164.6852072544331</v>
      </c>
      <c r="S11" t="n">
        <v>166.4881800710831</v>
      </c>
      <c r="T11" t="n">
        <v>2.775839263566754e-05</v>
      </c>
      <c r="U11" t="n">
        <v>3.097062787678284e-05</v>
      </c>
      <c r="V11" t="n">
        <v>202.6073114885654</v>
      </c>
      <c r="W11" t="inlineStr">
        <is>
          <t>2019-04-15 08:00:00</t>
        </is>
      </c>
      <c r="X11" t="n">
        <v>104.1933364980485</v>
      </c>
      <c r="Y11" t="n">
        <v>33.63182734401965</v>
      </c>
      <c r="Z11" t="n">
        <v>716.6444881997602</v>
      </c>
      <c r="AA11" t="n">
        <v>101.0675336625607</v>
      </c>
      <c r="AB11" t="inlineStr">
        <is>
          <t>2019-01-23 08:00:00</t>
        </is>
      </c>
      <c r="AC11" t="n">
        <v>96.99999736974898</v>
      </c>
      <c r="AD11" t="n">
        <v>3.125802835487747</v>
      </c>
      <c r="AE11" t="n">
        <v>2.134166657174491</v>
      </c>
      <c r="AF11" t="n">
        <v>6.611771117260975</v>
      </c>
      <c r="AG11" t="n">
        <v>10.63799920004446</v>
      </c>
      <c r="AH11" t="n">
        <v>530.0932221463073</v>
      </c>
      <c r="AI11" t="n">
        <v>10.638</v>
      </c>
      <c r="AJ11" t="n">
        <v>7.999555418081172e-07</v>
      </c>
      <c r="AK11" t="b">
        <v>1</v>
      </c>
      <c r="AL11" t="n">
        <v>0.1965566284288216</v>
      </c>
      <c r="AM11" t="n">
        <v>64.94402273444084</v>
      </c>
      <c r="AN11" t="n">
        <v>16.8609018991638</v>
      </c>
      <c r="AO11" t="n">
        <v>106.000775960239</v>
      </c>
      <c r="AP11" t="n">
        <v>21.18500486532632</v>
      </c>
      <c r="AQ11" t="n">
        <v>40669.36434080717</v>
      </c>
      <c r="AR11" t="n">
        <v>9934.779273259524</v>
      </c>
      <c r="AS11" t="n">
        <v>32.41514566291281</v>
      </c>
      <c r="AT11" t="n">
        <v>32.41514566291281</v>
      </c>
      <c r="AU11" t="n">
        <v>25.75733011526652</v>
      </c>
      <c r="AV11" t="n">
        <v>18.55733011526652</v>
      </c>
      <c r="AW11" t="n">
        <v>10236.83489977201</v>
      </c>
      <c r="AX11" t="n">
        <v>9062.311132047367</v>
      </c>
      <c r="AY11" t="n">
        <v>50906.19924057918</v>
      </c>
      <c r="AZ11" t="n">
        <v>18997.09040530689</v>
      </c>
      <c r="BA11" t="n">
        <v>5.21196992937635</v>
      </c>
      <c r="BB11" t="n">
        <v>2.739461092269411</v>
      </c>
      <c r="BC11" t="n">
        <v>-0.0024808790062809</v>
      </c>
      <c r="BD11" t="inlineStr">
        <is>
          <t>not stored in solved .nc</t>
        </is>
      </c>
    </row>
    <row r="12">
      <c r="A12" t="inlineStr">
        <is>
          <t>grid-inaction-2040-mild65</t>
        </is>
      </c>
      <c r="B12" t="inlineStr">
        <is>
          <t>65%</t>
        </is>
      </c>
      <c r="C12" t="n">
        <v>0.65</v>
      </c>
      <c r="D12" t="n">
        <v>2040</v>
      </c>
      <c r="E12" t="n">
        <v>3</v>
      </c>
      <c r="F12" t="n">
        <v>272.3553234817916</v>
      </c>
      <c r="G12" t="n">
        <v>271.43688311</v>
      </c>
      <c r="H12" t="n">
        <v>6.217610760119522</v>
      </c>
      <c r="I12" t="n">
        <v>57.39955225087477</v>
      </c>
      <c r="J12" t="n">
        <v>99.20090777606364</v>
      </c>
      <c r="K12" t="n">
        <v>13.10477770914325</v>
      </c>
      <c r="L12" t="n">
        <v>115.9090095473872</v>
      </c>
      <c r="M12" t="n">
        <v>171.4037217166003</v>
      </c>
      <c r="N12" t="n">
        <v>835.62406463538</v>
      </c>
      <c r="O12" t="n">
        <v>835.6240388019476</v>
      </c>
      <c r="P12" t="n">
        <v>1007.02778635198</v>
      </c>
      <c r="Q12" t="n">
        <v>174.3803926690005</v>
      </c>
      <c r="R12" t="n">
        <v>164.685215658572</v>
      </c>
      <c r="S12" t="n">
        <v>164.6852158869264</v>
      </c>
      <c r="T12" t="n">
        <v>2.583343247048784e-05</v>
      </c>
      <c r="U12" t="n">
        <v>2.740110572825677e-05</v>
      </c>
      <c r="V12" t="n">
        <v>170.3436637846839</v>
      </c>
      <c r="W12" t="inlineStr">
        <is>
          <t>2019-04-15 08:00:00</t>
        </is>
      </c>
      <c r="X12" t="n">
        <v>90.26760438969933</v>
      </c>
      <c r="Y12" t="n">
        <v>28.37566678253964</v>
      </c>
      <c r="Z12" t="n">
        <v>665.6040031195466</v>
      </c>
      <c r="AA12" t="n">
        <v>87.55957393572875</v>
      </c>
      <c r="AB12" t="inlineStr">
        <is>
          <t>2019-01-25 08:00:00</t>
        </is>
      </c>
      <c r="AC12" t="n">
        <v>96.99999742733884</v>
      </c>
      <c r="AD12" t="n">
        <v>2.708030453970579</v>
      </c>
      <c r="AE12" t="n">
        <v>1.800627759620033</v>
      </c>
      <c r="AF12" t="n">
        <v>5.728089334574026</v>
      </c>
      <c r="AG12" t="n">
        <v>9.219994832959113</v>
      </c>
      <c r="AH12" t="n">
        <v>459.4151375058831</v>
      </c>
      <c r="AI12" t="n">
        <v>9.220000000000001</v>
      </c>
      <c r="AJ12" t="n">
        <v>5.167040887599228e-06</v>
      </c>
      <c r="AK12" t="b">
        <v>1</v>
      </c>
      <c r="AL12" t="n">
        <v>0.1964837399127786</v>
      </c>
      <c r="AM12" t="n">
        <v>64.72278370063238</v>
      </c>
      <c r="AN12" t="n">
        <v>16.63966286535533</v>
      </c>
      <c r="AO12" t="n">
        <v>108.0165790981108</v>
      </c>
      <c r="AP12" t="n">
        <v>23.20080800319813</v>
      </c>
      <c r="AQ12" t="n">
        <v>40612.71434286761</v>
      </c>
      <c r="AR12" t="n">
        <v>9878.12927531997</v>
      </c>
      <c r="AS12" t="n">
        <v>19.54044198218606</v>
      </c>
      <c r="AT12" t="n">
        <v>19.54044198218606</v>
      </c>
      <c r="AU12" t="n">
        <v>21.17545355159931</v>
      </c>
      <c r="AV12" t="n">
        <v>13.97545355159931</v>
      </c>
      <c r="AW12" t="n">
        <v>7134.624098020287</v>
      </c>
      <c r="AX12" t="n">
        <v>5960.100330295637</v>
      </c>
      <c r="AY12" t="n">
        <v>47747.3384408879</v>
      </c>
      <c r="AZ12" t="n">
        <v>15838.22960561561</v>
      </c>
      <c r="BA12" t="n">
        <v>4.54321765313523</v>
      </c>
      <c r="BB12" t="n">
        <v>2.070745834705808</v>
      </c>
      <c r="BC12" t="n">
        <v>-0.001301671819751802</v>
      </c>
      <c r="BD12" t="inlineStr">
        <is>
          <t>not stored in solved .nc</t>
        </is>
      </c>
    </row>
    <row r="13">
      <c r="A13" t="inlineStr">
        <is>
          <t>grid-inaction-2040-moderate</t>
        </is>
      </c>
      <c r="B13" t="inlineStr">
        <is>
          <t>50%</t>
        </is>
      </c>
      <c r="C13" t="n">
        <v>0.5</v>
      </c>
      <c r="D13" t="n">
        <v>2040</v>
      </c>
      <c r="E13" t="n">
        <v>3</v>
      </c>
      <c r="F13" t="n">
        <v>272.3553234817916</v>
      </c>
      <c r="G13" t="n">
        <v>271.43688311</v>
      </c>
      <c r="H13" t="n">
        <v>6.217610760119522</v>
      </c>
      <c r="I13" t="n">
        <v>57.39955225087477</v>
      </c>
      <c r="J13" t="n">
        <v>80.57062626944646</v>
      </c>
      <c r="K13" t="n">
        <v>0.0001083802856056663</v>
      </c>
      <c r="L13" t="n">
        <v>99.23756798446328</v>
      </c>
      <c r="M13" t="n">
        <v>270.2792288710328</v>
      </c>
      <c r="N13" t="n">
        <v>787.2176722369813</v>
      </c>
      <c r="O13" t="n">
        <v>787.2174235264105</v>
      </c>
      <c r="P13" t="n">
        <v>1057.496901108014</v>
      </c>
      <c r="Q13" t="n">
        <v>174.4039808181826</v>
      </c>
      <c r="R13" t="n">
        <v>164.6852156576225</v>
      </c>
      <c r="S13" t="n">
        <v>164.6852155125149</v>
      </c>
      <c r="T13" t="n">
        <v>0.0002487105708932783</v>
      </c>
      <c r="U13" t="n">
        <v>13.28801157072747</v>
      </c>
      <c r="V13" t="n">
        <v>154.3054878271706</v>
      </c>
      <c r="W13" t="inlineStr">
        <is>
          <t>2019-04-24 08:00:00</t>
        </is>
      </c>
      <c r="X13" t="n">
        <v>72.75326170536935</v>
      </c>
      <c r="Y13" t="n">
        <v>26.36966182560485</v>
      </c>
      <c r="Z13" t="n">
        <v>618.0896449300902</v>
      </c>
      <c r="AA13" t="n">
        <v>70.57066354809535</v>
      </c>
      <c r="AB13" t="inlineStr">
        <is>
          <t>2019-11-23 20:00:00</t>
        </is>
      </c>
      <c r="AC13" t="n">
        <v>96.99999957924508</v>
      </c>
      <c r="AD13" t="n">
        <v>2.182598157274001</v>
      </c>
      <c r="AE13" t="n">
        <v>1.673333192797209</v>
      </c>
      <c r="AF13" t="n">
        <v>4.616685966660638</v>
      </c>
      <c r="AG13" t="n">
        <v>7.092000002961645</v>
      </c>
      <c r="AH13" t="n">
        <v>353.3902664432326</v>
      </c>
      <c r="AI13" t="n">
        <v>7.092</v>
      </c>
      <c r="AJ13" t="n">
        <v>-2.961645151344783e-09</v>
      </c>
      <c r="AK13" t="b">
        <v>1</v>
      </c>
      <c r="AL13" t="n">
        <v>0.2058722851583016</v>
      </c>
      <c r="AM13" t="n">
        <v>65.1012654096177</v>
      </c>
      <c r="AN13" t="n">
        <v>17.01814457434067</v>
      </c>
      <c r="AO13" t="n">
        <v>105.7406931707653</v>
      </c>
      <c r="AP13" t="n">
        <v>20.92492207585268</v>
      </c>
      <c r="AQ13" t="n">
        <v>39553.71950875176</v>
      </c>
      <c r="AR13" t="n">
        <v>8819.134441204122</v>
      </c>
      <c r="AS13" t="n">
        <v>3.877513380760787</v>
      </c>
      <c r="AT13" t="n">
        <v>3.877513380760787</v>
      </c>
      <c r="AU13" t="n">
        <v>9.554059784270816</v>
      </c>
      <c r="AV13" t="n">
        <v>2.354059784270816</v>
      </c>
      <c r="AW13" t="n">
        <v>1998.521318067969</v>
      </c>
      <c r="AX13" t="n">
        <v>823.9975503433197</v>
      </c>
      <c r="AY13" t="n">
        <v>41552.24082681973</v>
      </c>
      <c r="AZ13" t="n">
        <v>9643.131991547441</v>
      </c>
      <c r="BA13" t="n">
        <v>3.273124230207316</v>
      </c>
      <c r="BB13" t="n">
        <v>0.8006840591040932</v>
      </c>
      <c r="BC13" t="n">
        <v>-0.001118002167245912</v>
      </c>
      <c r="BD13" t="inlineStr">
        <is>
          <t>not stored in solved .nc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40" customWidth="1" style="59" min="1" max="1"/>
    <col width="70" customWidth="1" style="59" min="2" max="2"/>
    <col width="40" customWidth="1" style="59" min="3" max="3"/>
    <col width="70" customWidth="1" style="59" min="4" max="4"/>
  </cols>
  <sheetData>
    <row r="1">
      <c r="A1" s="75" t="inlineStr">
        <is>
          <t>Sheet</t>
        </is>
      </c>
      <c r="B1" s="75" t="inlineStr">
        <is>
          <t>What changed</t>
        </is>
      </c>
      <c r="C1" s="75" t="inlineStr">
        <is>
          <t>Source</t>
        </is>
      </c>
      <c r="D1" s="75" t="inlineStr">
        <is>
          <t>Notes</t>
        </is>
      </c>
    </row>
    <row r="2">
      <c r="A2" t="inlineStr">
        <is>
          <t>Parameters / RAB &amp; Cost Build-up / Tariff Results / Scenario Comparison / Methodology Note</t>
        </is>
      </c>
      <c r="B2" t="inlineStr">
        <is>
          <t>Untouched copies of the original model</t>
        </is>
      </c>
      <c r="C2" t="inlineStr">
        <is>
          <t>german_network_tariff_model_v3.xlsx</t>
        </is>
      </c>
      <c r="D2" t="inlineStr">
        <is>
          <t>NEP A/B/C demand scenarios remain the Excel-only result.</t>
        </is>
      </c>
    </row>
    <row r="3">
      <c r="A3" t="inlineStr">
        <is>
          <t>PyPSA_Comparison</t>
        </is>
      </c>
      <c r="B3" t="inlineStr">
        <is>
          <t>Cases A–E system-average tariffs for Build/85/75/65/50% in 2030 and 2040</t>
        </is>
      </c>
      <c r="C3" t="inlineStr">
        <is>
          <t>Excel B financial identities + German PyPSA ratios</t>
        </is>
      </c>
      <c r="D3" t="inlineStr">
        <is>
          <t>Case E is the publication recommendation.</t>
        </is>
      </c>
    </row>
    <row r="4">
      <c r="A4" t="inlineStr">
        <is>
          <t>PyPSA_RAB_recommended</t>
        </is>
      </c>
      <c r="B4" t="inlineStr">
        <is>
          <t>Year-by-year RAB for Case E (VNB×peak DSO, ÜNB×TSO stock)</t>
        </is>
      </c>
      <c r="C4" t="inlineStr">
        <is>
          <t>Same identities as original RAB sheet</t>
        </is>
      </c>
      <c r="D4" t="inlineStr">
        <is>
          <t>2023–2025 investment is Excel B historical. 2026–30 uses 2030 ratios; 2031–40 uses 2040 ratios.</t>
        </is>
      </c>
    </row>
    <row r="5">
      <c r="A5" t="inlineStr">
        <is>
          <t>Inputs_PyPSA_DE</t>
        </is>
      </c>
      <c r="B5" t="inlineStr">
        <is>
          <t>Raw German extract</t>
        </is>
      </c>
      <c r="C5" t="inlineStr">
        <is>
          <t>solved .nc, 3 DE nodes</t>
        </is>
      </c>
      <c r="D5" t="inlineStr">
        <is>
          <t>Industry/households/HP/BEV/data centres are on LV. No HöS-connected industry in the model.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System-average network tariff (ct/kWh). Excel A/B/C are NEP demand scenarios (original methodology). Build/85/75/65/50% use Excel B finance + PyPSA German physics. Case E is recommended. Cases C and D are empirically identical (DSO utilisation 97% in every run).</t>
        </is>
      </c>
    </row>
    <row r="3">
      <c r="A3" t="inlineStr">
        <is>
          <t>Original Excel NEP scenarios (ct/kWh, from the copied workbook)</t>
        </is>
      </c>
    </row>
    <row r="4">
      <c r="A4" s="75" t="inlineStr">
        <is>
          <t>scenario</t>
        </is>
      </c>
      <c r="B4" s="75" t="inlineStr">
        <is>
          <t>year</t>
        </is>
      </c>
      <c r="C4" s="75" t="inlineStr">
        <is>
          <t>nep_demand_twh</t>
        </is>
      </c>
      <c r="D4" s="75" t="inlineStr">
        <is>
          <t>original_excel_ct_per_kwh</t>
        </is>
      </c>
    </row>
    <row r="5">
      <c r="A5" t="inlineStr">
        <is>
          <t>Excel A (NEP low)</t>
        </is>
      </c>
      <c r="B5" t="n">
        <v>2030</v>
      </c>
      <c r="C5" t="n">
        <v>590</v>
      </c>
      <c r="D5" t="n">
        <v>7.34</v>
      </c>
    </row>
    <row r="6">
      <c r="A6" t="inlineStr">
        <is>
          <t>Excel A (NEP low)</t>
        </is>
      </c>
      <c r="B6" t="n">
        <v>2040</v>
      </c>
      <c r="C6" t="n">
        <v>900</v>
      </c>
      <c r="D6" t="n">
        <v>6.94</v>
      </c>
    </row>
    <row r="7">
      <c r="A7" t="inlineStr">
        <is>
          <t>Excel B (NEP base)</t>
        </is>
      </c>
      <c r="B7" t="n">
        <v>2030</v>
      </c>
      <c r="C7" t="n">
        <v>660</v>
      </c>
      <c r="D7" t="n">
        <v>6.66</v>
      </c>
    </row>
    <row r="8">
      <c r="A8" t="inlineStr">
        <is>
          <t>Excel B (NEP base)</t>
        </is>
      </c>
      <c r="B8" t="n">
        <v>2040</v>
      </c>
      <c r="C8" t="n">
        <v>1100</v>
      </c>
      <c r="D8" t="n">
        <v>6.04</v>
      </c>
    </row>
    <row r="9">
      <c r="A9" t="inlineStr">
        <is>
          <t>Excel C (NEP high)</t>
        </is>
      </c>
      <c r="B9" t="n">
        <v>2030</v>
      </c>
      <c r="C9" t="n">
        <v>740</v>
      </c>
      <c r="D9" t="n">
        <v>6.05</v>
      </c>
    </row>
    <row r="10">
      <c r="A10" t="inlineStr">
        <is>
          <t>Excel C (NEP high)</t>
        </is>
      </c>
      <c r="B10" t="n">
        <v>2040</v>
      </c>
      <c r="C10" t="n">
        <v>1260</v>
      </c>
      <c r="D10" t="n">
        <v>5.58</v>
      </c>
    </row>
    <row r="12">
      <c r="A12" t="inlineStr">
        <is>
          <t>PyPSA grid-cap scenarios (ct/kWh system average)</t>
        </is>
      </c>
    </row>
    <row r="13">
      <c r="A13" s="75" t="inlineStr">
        <is>
          <t>scenario</t>
        </is>
      </c>
      <c r="B13" s="75" t="inlineStr">
        <is>
          <t>year</t>
        </is>
      </c>
      <c r="C13" s="75" t="inlineStr">
        <is>
          <t>pypsa_enduse_twh</t>
        </is>
      </c>
      <c r="D13" s="75" t="inlineStr">
        <is>
          <t>peak_dso_gw</t>
        </is>
      </c>
      <c r="E13" s="75" t="inlineStr">
        <is>
          <t>dso_stock_gw</t>
        </is>
      </c>
      <c r="F13" s="75" t="inlineStr">
        <is>
          <t>dso_vs_build_pct</t>
        </is>
      </c>
      <c r="G13" s="75" t="inlineStr">
        <is>
          <t>tso_stock_vs_build_pct</t>
        </is>
      </c>
      <c r="H13" s="75" t="inlineStr">
        <is>
          <t>tso_new_vs_build_pct</t>
        </is>
      </c>
      <c r="I13" s="75" t="inlineStr">
        <is>
          <t>enduse_vs_build_pct</t>
        </is>
      </c>
      <c r="J13" s="75" t="inlineStr">
        <is>
          <t>A_demand_scaled</t>
        </is>
      </c>
      <c r="K13" s="75" t="inlineStr">
        <is>
          <t>B_denominator_only</t>
        </is>
      </c>
      <c r="L13" s="75" t="inlineStr">
        <is>
          <t>C_dso_capacity_all_inv</t>
        </is>
      </c>
      <c r="M13" s="75" t="inlineStr">
        <is>
          <t>D_peak_flow_all_inv</t>
        </is>
      </c>
      <c r="N13" s="75" t="inlineStr">
        <is>
          <t>E_tso_dso_split</t>
        </is>
      </c>
      <c r="O13" s="75" t="inlineStr">
        <is>
          <t>E_dso_only_tso_nep</t>
        </is>
      </c>
      <c r="P13" s="75" t="inlineStr">
        <is>
          <t>E_tso_new_volume</t>
        </is>
      </c>
    </row>
    <row r="14">
      <c r="A14" t="inlineStr">
        <is>
          <t>Build</t>
        </is>
      </c>
      <c r="B14" t="n">
        <v>2030</v>
      </c>
      <c r="C14" t="n">
        <v>650.3465492493959</v>
      </c>
      <c r="D14" t="n">
        <v>75.19562595060088</v>
      </c>
      <c r="E14" t="n">
        <v>77.52134955023627</v>
      </c>
      <c r="F14" t="n">
        <v>100</v>
      </c>
      <c r="G14" t="n">
        <v>100</v>
      </c>
      <c r="H14" t="n">
        <v>100</v>
      </c>
      <c r="I14" t="n">
        <v>100</v>
      </c>
      <c r="J14" t="n">
        <v>6.761294329407251</v>
      </c>
      <c r="K14" t="n">
        <v>6.761294329407251</v>
      </c>
      <c r="L14" t="n">
        <v>6.761294329407251</v>
      </c>
      <c r="M14" t="n">
        <v>6.761294329407251</v>
      </c>
      <c r="N14" t="n">
        <v>6.761294329407251</v>
      </c>
      <c r="O14" t="n">
        <v>6.761294329407251</v>
      </c>
      <c r="P14" t="n">
        <v>6.761294329407251</v>
      </c>
    </row>
    <row r="15">
      <c r="A15" t="inlineStr">
        <is>
          <t>Build</t>
        </is>
      </c>
      <c r="B15" t="n">
        <v>2040</v>
      </c>
      <c r="C15" t="n">
        <v>949.7493364305732</v>
      </c>
      <c r="D15" t="n">
        <v>134.0115757122618</v>
      </c>
      <c r="E15" t="n">
        <v>138.1562756701306</v>
      </c>
      <c r="F15" t="n">
        <v>100</v>
      </c>
      <c r="G15" t="n">
        <v>100</v>
      </c>
      <c r="H15" t="n">
        <v>100</v>
      </c>
      <c r="I15" t="n">
        <v>100</v>
      </c>
      <c r="J15" t="n">
        <v>6.995307437934875</v>
      </c>
      <c r="K15" t="n">
        <v>6.995307437934875</v>
      </c>
      <c r="L15" t="n">
        <v>6.995307437934875</v>
      </c>
      <c r="M15" t="n">
        <v>6.995307437934875</v>
      </c>
      <c r="N15" t="n">
        <v>6.995307437934875</v>
      </c>
      <c r="O15" t="n">
        <v>6.995307437934875</v>
      </c>
      <c r="P15" t="n">
        <v>6.995307437934875</v>
      </c>
    </row>
    <row r="16">
      <c r="A16" t="inlineStr">
        <is>
          <t>85%</t>
        </is>
      </c>
      <c r="B16" t="n">
        <v>2030</v>
      </c>
      <c r="C16" t="n">
        <v>642.202160124732</v>
      </c>
      <c r="D16" t="n">
        <v>70.9540842529581</v>
      </c>
      <c r="E16" t="n">
        <v>73.14855482343131</v>
      </c>
      <c r="F16" t="n">
        <v>94.35923812965711</v>
      </c>
      <c r="G16" t="n">
        <v>95.63385072856214</v>
      </c>
      <c r="H16" t="n">
        <v>66.80711275706234</v>
      </c>
      <c r="I16" t="n">
        <v>98.74768473299906</v>
      </c>
      <c r="J16" t="n">
        <v>6.830178475358101</v>
      </c>
      <c r="K16" t="n">
        <v>6.847040867529111</v>
      </c>
      <c r="L16" t="n">
        <v>6.771088157131524</v>
      </c>
      <c r="M16" t="n">
        <v>6.771089312091369</v>
      </c>
      <c r="N16" t="n">
        <v>6.781024900101597</v>
      </c>
      <c r="O16" t="n">
        <v>6.815061265239536</v>
      </c>
      <c r="P16" t="n">
        <v>6.556305744081887</v>
      </c>
    </row>
    <row r="17">
      <c r="A17" t="inlineStr">
        <is>
          <t>85%</t>
        </is>
      </c>
      <c r="B17" t="n">
        <v>2040</v>
      </c>
      <c r="C17" t="n">
        <v>916.7295765574139</v>
      </c>
      <c r="D17" t="n">
        <v>112.1147994820125</v>
      </c>
      <c r="E17" t="n">
        <v>115.5822713818314</v>
      </c>
      <c r="F17" t="n">
        <v>83.66052922402302</v>
      </c>
      <c r="G17" t="n">
        <v>99.41075893012919</v>
      </c>
      <c r="H17" t="n">
        <v>98.51811496181709</v>
      </c>
      <c r="I17" t="n">
        <v>96.52331845818847</v>
      </c>
      <c r="J17" t="n">
        <v>7.1543123972365</v>
      </c>
      <c r="K17" t="n">
        <v>7.247272006054237</v>
      </c>
      <c r="L17" t="n">
        <v>6.812676128590465</v>
      </c>
      <c r="M17" t="n">
        <v>6.812677035777965</v>
      </c>
      <c r="N17" t="n">
        <v>7.032671420370181</v>
      </c>
      <c r="O17" t="n">
        <v>7.064284650148438</v>
      </c>
      <c r="P17" t="n">
        <v>6.86450832727257</v>
      </c>
    </row>
    <row r="18">
      <c r="A18" t="inlineStr">
        <is>
          <t>75%</t>
        </is>
      </c>
      <c r="B18" t="n">
        <v>2030</v>
      </c>
      <c r="C18" t="n">
        <v>654.6208134934595</v>
      </c>
      <c r="D18" t="n">
        <v>68.44465565340461</v>
      </c>
      <c r="E18" t="n">
        <v>70.56150915402884</v>
      </c>
      <c r="F18" t="n">
        <v>91.02203401180829</v>
      </c>
      <c r="G18" t="n">
        <v>95.56753750440404</v>
      </c>
      <c r="H18" t="n">
        <v>66.30297805269149</v>
      </c>
      <c r="I18" t="n">
        <v>100.6572287112151</v>
      </c>
      <c r="J18" t="n">
        <v>6.725828993045655</v>
      </c>
      <c r="K18" t="n">
        <v>6.717147308719734</v>
      </c>
      <c r="L18" t="n">
        <v>6.598552571045785</v>
      </c>
      <c r="M18" t="n">
        <v>6.598553755497855</v>
      </c>
      <c r="N18" t="n">
        <v>6.633315372945382</v>
      </c>
      <c r="O18" t="n">
        <v>6.667213181047363</v>
      </c>
      <c r="P18" t="n">
        <v>6.409511015555142</v>
      </c>
    </row>
    <row r="19">
      <c r="A19" t="inlineStr">
        <is>
          <t>75%</t>
        </is>
      </c>
      <c r="B19" t="n">
        <v>2040</v>
      </c>
      <c r="C19" t="n">
        <v>890.1722387777472</v>
      </c>
      <c r="D19" t="n">
        <v>101.0675336625607</v>
      </c>
      <c r="E19" t="n">
        <v>104.1933364980485</v>
      </c>
      <c r="F19" t="n">
        <v>75.41701308366633</v>
      </c>
      <c r="G19" t="n">
        <v>96.09919710214103</v>
      </c>
      <c r="H19" t="n">
        <v>90.18985310629304</v>
      </c>
      <c r="I19" t="n">
        <v>93.72707141057518</v>
      </c>
      <c r="J19" t="n">
        <v>7.318849952254483</v>
      </c>
      <c r="K19" t="n">
        <v>7.463486624149016</v>
      </c>
      <c r="L19" t="n">
        <v>6.785390801573234</v>
      </c>
      <c r="M19" t="n">
        <v>6.785391774281083</v>
      </c>
      <c r="N19" t="n">
        <v>7.098906268918029</v>
      </c>
      <c r="O19" t="n">
        <v>7.177973003151993</v>
      </c>
      <c r="P19" t="n">
        <v>6.853386264302996</v>
      </c>
    </row>
    <row r="20">
      <c r="A20" t="inlineStr">
        <is>
          <t>65%</t>
        </is>
      </c>
      <c r="B20" t="n">
        <v>2030</v>
      </c>
      <c r="C20" t="n">
        <v>626.304937515055</v>
      </c>
      <c r="D20" t="n">
        <v>60.03517906916543</v>
      </c>
      <c r="E20" t="n">
        <v>61.8919376071597</v>
      </c>
      <c r="F20" t="n">
        <v>79.8385708791767</v>
      </c>
      <c r="G20" t="n">
        <v>90.85930014147358</v>
      </c>
      <c r="H20" t="n">
        <v>30.50942584340764</v>
      </c>
      <c r="I20" t="n">
        <v>96.3032614285278</v>
      </c>
      <c r="J20" t="n">
        <v>6.969796350246242</v>
      </c>
      <c r="K20" t="n">
        <v>7.020836292678621</v>
      </c>
      <c r="L20" t="n">
        <v>6.742472496649759</v>
      </c>
      <c r="M20" t="n">
        <v>6.742473707501491</v>
      </c>
      <c r="N20" t="n">
        <v>6.83056589585337</v>
      </c>
      <c r="O20" t="n">
        <v>6.903630993656671</v>
      </c>
      <c r="P20" t="n">
        <v>6.348166349182764</v>
      </c>
    </row>
    <row r="21">
      <c r="A21" t="inlineStr">
        <is>
          <t>65%</t>
        </is>
      </c>
      <c r="B21" t="n">
        <v>2040</v>
      </c>
      <c r="C21" t="n">
        <v>835.62406463538</v>
      </c>
      <c r="D21" t="n">
        <v>87.55957393572875</v>
      </c>
      <c r="E21" t="n">
        <v>90.26760438969933</v>
      </c>
      <c r="F21" t="n">
        <v>65.33731743408254</v>
      </c>
      <c r="G21" t="n">
        <v>90.13599436580753</v>
      </c>
      <c r="H21" t="n">
        <v>75.19296750807547</v>
      </c>
      <c r="I21" t="n">
        <v>87.98364290265174</v>
      </c>
      <c r="J21" t="n">
        <v>7.604692880936015</v>
      </c>
      <c r="K21" t="n">
        <v>7.950690841108652</v>
      </c>
      <c r="L21" t="n">
        <v>6.855167078114643</v>
      </c>
      <c r="M21" t="n">
        <v>6.85516807960667</v>
      </c>
      <c r="N21" t="n">
        <v>7.288712175487305</v>
      </c>
      <c r="O21" t="n">
        <v>7.489418099423607</v>
      </c>
      <c r="P21" t="n">
        <v>6.708428611708621</v>
      </c>
    </row>
    <row r="22">
      <c r="A22" t="inlineStr">
        <is>
          <t>50%</t>
        </is>
      </c>
      <c r="B22" t="n">
        <v>2030</v>
      </c>
      <c r="C22" t="n">
        <v>581.7287281982432</v>
      </c>
      <c r="D22" t="n">
        <v>44.99209155309669</v>
      </c>
      <c r="E22" t="n">
        <v>46.38359987976452</v>
      </c>
      <c r="F22" t="n">
        <v>59.83332352812884</v>
      </c>
      <c r="G22" t="n">
        <v>87.76785582093765</v>
      </c>
      <c r="H22" t="n">
        <v>7.007260349286475</v>
      </c>
      <c r="I22" t="n">
        <v>89.44903742007261</v>
      </c>
      <c r="J22" t="n">
        <v>7.401985791131199</v>
      </c>
      <c r="K22" t="n">
        <v>7.558822905667174</v>
      </c>
      <c r="L22" t="n">
        <v>6.961756468304102</v>
      </c>
      <c r="M22" t="n">
        <v>6.961757444828216</v>
      </c>
      <c r="N22" t="n">
        <v>7.202158421700116</v>
      </c>
      <c r="O22" t="n">
        <v>7.307426922156033</v>
      </c>
      <c r="P22" t="n">
        <v>6.507141533673256</v>
      </c>
    </row>
    <row r="23">
      <c r="A23" t="inlineStr">
        <is>
          <t>50%</t>
        </is>
      </c>
      <c r="B23" t="n">
        <v>2040</v>
      </c>
      <c r="C23" t="n">
        <v>787.2176722369813</v>
      </c>
      <c r="D23" t="n">
        <v>70.57066354809535</v>
      </c>
      <c r="E23" t="n">
        <v>72.75326170536935</v>
      </c>
      <c r="F23" t="n">
        <v>52.66012083235292</v>
      </c>
      <c r="G23" t="n">
        <v>78.44107477717776</v>
      </c>
      <c r="H23" t="n">
        <v>45.78136121094114</v>
      </c>
      <c r="I23" t="n">
        <v>82.88688836525732</v>
      </c>
      <c r="J23" t="n">
        <v>7.858955920583052</v>
      </c>
      <c r="K23" t="n">
        <v>8.439582635927508</v>
      </c>
      <c r="L23" t="n">
        <v>6.713817765156858</v>
      </c>
      <c r="M23" t="n">
        <v>6.71381859941412</v>
      </c>
      <c r="N23" t="n">
        <v>7.296146688537052</v>
      </c>
      <c r="O23" t="n">
        <v>7.71294514686924</v>
      </c>
      <c r="P23" t="n">
        <v>6.272349282952216</v>
      </c>
    </row>
    <row r="26">
      <c r="A26" t="inlineStr">
        <is>
          <t>Long table (all cases, including band IG/IC)</t>
        </is>
      </c>
    </row>
    <row r="27">
      <c r="A27" s="75" t="inlineStr">
        <is>
          <t>scenario</t>
        </is>
      </c>
      <c r="B27" s="75" t="inlineStr">
        <is>
          <t>year</t>
        </is>
      </c>
      <c r="C27" s="75" t="inlineStr">
        <is>
          <t>case</t>
        </is>
      </c>
      <c r="D27" s="75" t="inlineStr">
        <is>
          <t>pypsa_enduse_twh</t>
        </is>
      </c>
      <c r="E27" s="75" t="inlineStr">
        <is>
          <t>pypsa_dso_hv_lv_twh</t>
        </is>
      </c>
      <c r="F27" s="75" t="inlineStr">
        <is>
          <t>peak_dso_gw</t>
        </is>
      </c>
      <c r="G27" s="75" t="inlineStr">
        <is>
          <t>dso_stock_gw</t>
        </is>
      </c>
      <c r="H27" s="75" t="inlineStr">
        <is>
          <t>dso_vs_build_pct</t>
        </is>
      </c>
      <c r="I27" s="75" t="inlineStr">
        <is>
          <t>dso_new_vs_build_pct</t>
        </is>
      </c>
      <c r="J27" s="75" t="inlineStr">
        <is>
          <t>tso_stock_vs_build_pct</t>
        </is>
      </c>
      <c r="K27" s="75" t="inlineStr">
        <is>
          <t>tso_new_vs_build_pct</t>
        </is>
      </c>
      <c r="L27" s="75" t="inlineStr">
        <is>
          <t>inv_bn</t>
        </is>
      </c>
      <c r="M27" s="75" t="inlineStr">
        <is>
          <t>total_cost_bn</t>
        </is>
      </c>
      <c r="N27" s="75" t="inlineStr">
        <is>
          <t>system_avg_ct_per_kwh</t>
        </is>
      </c>
      <c r="O27" s="75" t="inlineStr">
        <is>
          <t>ig_eur_per_kwh</t>
        </is>
      </c>
      <c r="P27" s="75" t="inlineStr">
        <is>
          <t>ic_eur_per_kwh</t>
        </is>
      </c>
      <c r="Q27" s="75" t="inlineStr">
        <is>
          <t>notes</t>
        </is>
      </c>
      <c r="R27" s="75" t="inlineStr">
        <is>
          <t>case_label</t>
        </is>
      </c>
      <c r="S27" s="75" t="inlineStr">
        <is>
          <t>peak_dso_vs_build_pct</t>
        </is>
      </c>
      <c r="T27" s="75" t="inlineStr">
        <is>
          <t>enduse_vs_build_pct</t>
        </is>
      </c>
      <c r="U27" s="75" t="inlineStr">
        <is>
          <t>closing_rab_bn</t>
        </is>
      </c>
      <c r="V27" s="75" t="inlineStr">
        <is>
          <t>system_avg_eur_per_mwh</t>
        </is>
      </c>
      <c r="W27" s="75" t="inlineStr">
        <is>
          <t>dso_peak_util_pct</t>
        </is>
      </c>
      <c r="X27" s="75" t="inlineStr">
        <is>
          <t>lv_shed_twh</t>
        </is>
      </c>
    </row>
    <row r="28">
      <c r="A28" t="inlineStr">
        <is>
          <t>Excel A (NEP low)</t>
        </is>
      </c>
      <c r="B28" t="n">
        <v>2030</v>
      </c>
      <c r="C28" t="inlineStr">
        <is>
          <t>original_excel</t>
        </is>
      </c>
      <c r="D28" t="n">
        <v>590</v>
      </c>
      <c r="N28" t="n">
        <v>7.34</v>
      </c>
      <c r="O28" t="n">
        <v>0.016148</v>
      </c>
      <c r="P28" t="n">
        <v>0.09541999999999999</v>
      </c>
      <c r="Q28" t="inlineStr">
        <is>
          <t>Workbook NEP demand scenario; not a PyPSA grid-cap case</t>
        </is>
      </c>
    </row>
    <row r="29">
      <c r="A29" t="inlineStr">
        <is>
          <t>Excel A (NEP low)</t>
        </is>
      </c>
      <c r="B29" t="n">
        <v>2040</v>
      </c>
      <c r="C29" t="inlineStr">
        <is>
          <t>original_excel</t>
        </is>
      </c>
      <c r="D29" t="n">
        <v>900</v>
      </c>
      <c r="N29" t="n">
        <v>6.94</v>
      </c>
      <c r="O29" t="n">
        <v>0.015268</v>
      </c>
      <c r="P29" t="n">
        <v>0.09022000000000001</v>
      </c>
      <c r="Q29" t="inlineStr">
        <is>
          <t>Workbook NEP demand scenario; not a PyPSA grid-cap case</t>
        </is>
      </c>
    </row>
    <row r="30">
      <c r="A30" t="inlineStr">
        <is>
          <t>Excel B (NEP base)</t>
        </is>
      </c>
      <c r="B30" t="n">
        <v>2030</v>
      </c>
      <c r="C30" t="inlineStr">
        <is>
          <t>original_excel</t>
        </is>
      </c>
      <c r="D30" t="n">
        <v>660</v>
      </c>
      <c r="L30" t="n">
        <v>34</v>
      </c>
      <c r="N30" t="n">
        <v>6.66</v>
      </c>
      <c r="O30" t="n">
        <v>0.014652</v>
      </c>
      <c r="P30" t="n">
        <v>0.08658000000000002</v>
      </c>
      <c r="Q30" t="inlineStr">
        <is>
          <t>Workbook NEP demand scenario; not a PyPSA grid-cap case</t>
        </is>
      </c>
    </row>
    <row r="31">
      <c r="A31" t="inlineStr">
        <is>
          <t>Excel B (NEP base)</t>
        </is>
      </c>
      <c r="B31" t="n">
        <v>2040</v>
      </c>
      <c r="C31" t="inlineStr">
        <is>
          <t>original_excel</t>
        </is>
      </c>
      <c r="D31" t="n">
        <v>1100</v>
      </c>
      <c r="L31" t="n">
        <v>24</v>
      </c>
      <c r="N31" t="n">
        <v>6.04</v>
      </c>
      <c r="O31" t="n">
        <v>0.013288</v>
      </c>
      <c r="P31" t="n">
        <v>0.07852000000000001</v>
      </c>
      <c r="Q31" t="inlineStr">
        <is>
          <t>Workbook NEP demand scenario; not a PyPSA grid-cap case</t>
        </is>
      </c>
    </row>
    <row r="32">
      <c r="A32" t="inlineStr">
        <is>
          <t>Excel C (NEP high)</t>
        </is>
      </c>
      <c r="B32" t="n">
        <v>2030</v>
      </c>
      <c r="C32" t="inlineStr">
        <is>
          <t>original_excel</t>
        </is>
      </c>
      <c r="D32" t="n">
        <v>740</v>
      </c>
      <c r="N32" t="n">
        <v>6.05</v>
      </c>
      <c r="O32" t="n">
        <v>0.01331</v>
      </c>
      <c r="P32" t="n">
        <v>0.07865</v>
      </c>
      <c r="Q32" t="inlineStr">
        <is>
          <t>Workbook NEP demand scenario; not a PyPSA grid-cap case</t>
        </is>
      </c>
    </row>
    <row r="33">
      <c r="A33" t="inlineStr">
        <is>
          <t>Excel C (NEP high)</t>
        </is>
      </c>
      <c r="B33" t="n">
        <v>2040</v>
      </c>
      <c r="C33" t="inlineStr">
        <is>
          <t>original_excel</t>
        </is>
      </c>
      <c r="D33" t="n">
        <v>1260</v>
      </c>
      <c r="N33" t="n">
        <v>5.58</v>
      </c>
      <c r="O33" t="n">
        <v>0.012276</v>
      </c>
      <c r="P33" t="n">
        <v>0.07254000000000001</v>
      </c>
      <c r="Q33" t="inlineStr">
        <is>
          <t>Workbook NEP demand scenario; not a PyPSA grid-cap case</t>
        </is>
      </c>
    </row>
    <row r="34">
      <c r="A34" t="inlineStr">
        <is>
          <t>Build</t>
        </is>
      </c>
      <c r="B34" t="n">
        <v>2030</v>
      </c>
      <c r="C34" t="inlineStr">
        <is>
          <t>A_demand_scaled</t>
        </is>
      </c>
      <c r="D34" t="n">
        <v>650.3465492493959</v>
      </c>
      <c r="E34" t="n">
        <v>515.9321054852131</v>
      </c>
      <c r="F34" t="n">
        <v>75.19562595060088</v>
      </c>
      <c r="G34" t="n">
        <v>77.52134955023627</v>
      </c>
      <c r="H34" t="n">
        <v>100</v>
      </c>
      <c r="I34" t="n">
        <v>100</v>
      </c>
      <c r="J34" t="n">
        <v>100</v>
      </c>
      <c r="K34" t="n">
        <v>100</v>
      </c>
      <c r="L34" t="n">
        <v>34</v>
      </c>
      <c r="M34" t="n">
        <v>43.97184435589514</v>
      </c>
      <c r="N34" t="n">
        <v>6.761294329407251</v>
      </c>
      <c r="O34" t="n">
        <v>0.01487484752469595</v>
      </c>
      <c r="P34" t="n">
        <v>0.08789682628229427</v>
      </c>
      <c r="Q34" t="inlineStr"/>
      <c r="R34" t="inlineStr">
        <is>
          <t>Case A — Excel method: Inv × (end-use_s / end-use_Build)</t>
        </is>
      </c>
      <c r="S34" t="n">
        <v>100</v>
      </c>
      <c r="T34" t="n">
        <v>100</v>
      </c>
      <c r="U34" t="n">
        <v>321.0269297084504</v>
      </c>
      <c r="V34" t="n">
        <v>67.61294329407251</v>
      </c>
      <c r="W34" t="n">
        <v>96.99989278678871</v>
      </c>
      <c r="X34" t="n">
        <v>3.446737540567732e-05</v>
      </c>
    </row>
    <row r="35">
      <c r="A35" t="inlineStr">
        <is>
          <t>Build</t>
        </is>
      </c>
      <c r="B35" t="n">
        <v>2040</v>
      </c>
      <c r="C35" t="inlineStr">
        <is>
          <t>A_demand_scaled</t>
        </is>
      </c>
      <c r="D35" t="n">
        <v>949.7493364305732</v>
      </c>
      <c r="E35" t="n">
        <v>774.2869111904625</v>
      </c>
      <c r="F35" t="n">
        <v>134.0115757122618</v>
      </c>
      <c r="G35" t="n">
        <v>138.1562756701306</v>
      </c>
      <c r="H35" t="n">
        <v>100</v>
      </c>
      <c r="I35" t="n">
        <v>100</v>
      </c>
      <c r="J35" t="n">
        <v>100</v>
      </c>
      <c r="K35" t="n">
        <v>100</v>
      </c>
      <c r="L35" t="n">
        <v>24</v>
      </c>
      <c r="M35" t="n">
        <v>66.43788597306501</v>
      </c>
      <c r="N35" t="n">
        <v>6.995307437934875</v>
      </c>
      <c r="O35" t="n">
        <v>0.01538967636345672</v>
      </c>
      <c r="P35" t="n">
        <v>0.09093899669315338</v>
      </c>
      <c r="Q35" t="inlineStr"/>
      <c r="R35" t="inlineStr">
        <is>
          <t>Case A — Excel method: Inv × (end-use_s / end-use_Build)</t>
        </is>
      </c>
      <c r="S35" t="n">
        <v>100</v>
      </c>
      <c r="T35" t="n">
        <v>100</v>
      </c>
      <c r="U35" t="n">
        <v>505.2099928690948</v>
      </c>
      <c r="V35" t="n">
        <v>69.95307437934876</v>
      </c>
      <c r="W35" t="n">
        <v>96.99999154018535</v>
      </c>
      <c r="X35" t="n">
        <v>2.365126436063616e-05</v>
      </c>
    </row>
    <row r="36">
      <c r="A36" t="inlineStr">
        <is>
          <t>Build</t>
        </is>
      </c>
      <c r="B36" t="n">
        <v>2030</v>
      </c>
      <c r="C36" t="inlineStr">
        <is>
          <t>B_denominator_only</t>
        </is>
      </c>
      <c r="D36" t="n">
        <v>650.3465492493959</v>
      </c>
      <c r="E36" t="n">
        <v>515.9321054852131</v>
      </c>
      <c r="F36" t="n">
        <v>75.19562595060088</v>
      </c>
      <c r="G36" t="n">
        <v>77.52134955023627</v>
      </c>
      <c r="H36" t="n">
        <v>100</v>
      </c>
      <c r="I36" t="n">
        <v>100</v>
      </c>
      <c r="J36" t="n">
        <v>100</v>
      </c>
      <c r="K36" t="n">
        <v>100</v>
      </c>
      <c r="L36" t="n">
        <v>34</v>
      </c>
      <c r="M36" t="n">
        <v>43.97184435589514</v>
      </c>
      <c r="N36" t="n">
        <v>6.761294329407251</v>
      </c>
      <c r="O36" t="n">
        <v>0.01487484752469595</v>
      </c>
      <c r="P36" t="n">
        <v>0.08789682628229427</v>
      </c>
      <c r="Q36" t="inlineStr"/>
      <c r="R36" t="inlineStr">
        <is>
          <t>Case B — Excel B investment unchanged; PyPSA end-use denominator only</t>
        </is>
      </c>
      <c r="S36" t="n">
        <v>100</v>
      </c>
      <c r="T36" t="n">
        <v>100</v>
      </c>
      <c r="U36" t="n">
        <v>321.0269297084504</v>
      </c>
      <c r="V36" t="n">
        <v>67.61294329407251</v>
      </c>
      <c r="W36" t="n">
        <v>96.99989278678871</v>
      </c>
      <c r="X36" t="n">
        <v>3.446737540567732e-05</v>
      </c>
    </row>
    <row r="37">
      <c r="A37" t="inlineStr">
        <is>
          <t>Build</t>
        </is>
      </c>
      <c r="B37" t="n">
        <v>2040</v>
      </c>
      <c r="C37" t="inlineStr">
        <is>
          <t>B_denominator_only</t>
        </is>
      </c>
      <c r="D37" t="n">
        <v>949.7493364305732</v>
      </c>
      <c r="E37" t="n">
        <v>774.2869111904625</v>
      </c>
      <c r="F37" t="n">
        <v>134.0115757122618</v>
      </c>
      <c r="G37" t="n">
        <v>138.1562756701306</v>
      </c>
      <c r="H37" t="n">
        <v>100</v>
      </c>
      <c r="I37" t="n">
        <v>100</v>
      </c>
      <c r="J37" t="n">
        <v>100</v>
      </c>
      <c r="K37" t="n">
        <v>100</v>
      </c>
      <c r="L37" t="n">
        <v>24</v>
      </c>
      <c r="M37" t="n">
        <v>66.43788597306501</v>
      </c>
      <c r="N37" t="n">
        <v>6.995307437934875</v>
      </c>
      <c r="O37" t="n">
        <v>0.01538967636345672</v>
      </c>
      <c r="P37" t="n">
        <v>0.09093899669315338</v>
      </c>
      <c r="Q37" t="inlineStr"/>
      <c r="R37" t="inlineStr">
        <is>
          <t>Case B — Excel B investment unchanged; PyPSA end-use denominator only</t>
        </is>
      </c>
      <c r="S37" t="n">
        <v>100</v>
      </c>
      <c r="T37" t="n">
        <v>100</v>
      </c>
      <c r="U37" t="n">
        <v>505.2099928690948</v>
      </c>
      <c r="V37" t="n">
        <v>69.95307437934876</v>
      </c>
      <c r="W37" t="n">
        <v>96.99999154018535</v>
      </c>
      <c r="X37" t="n">
        <v>2.365126436063616e-05</v>
      </c>
    </row>
    <row r="38">
      <c r="A38" t="inlineStr">
        <is>
          <t>Build</t>
        </is>
      </c>
      <c r="B38" t="n">
        <v>2030</v>
      </c>
      <c r="C38" t="inlineStr">
        <is>
          <t>C_dso_capacity_all_inv</t>
        </is>
      </c>
      <c r="D38" t="n">
        <v>650.3465492493959</v>
      </c>
      <c r="E38" t="n">
        <v>515.9321054852131</v>
      </c>
      <c r="F38" t="n">
        <v>75.19562595060088</v>
      </c>
      <c r="G38" t="n">
        <v>77.52134955023627</v>
      </c>
      <c r="H38" t="n">
        <v>100</v>
      </c>
      <c r="I38" t="n">
        <v>100</v>
      </c>
      <c r="J38" t="n">
        <v>100</v>
      </c>
      <c r="K38" t="n">
        <v>100</v>
      </c>
      <c r="L38" t="n">
        <v>34</v>
      </c>
      <c r="M38" t="n">
        <v>43.97184435589514</v>
      </c>
      <c r="N38" t="n">
        <v>6.761294329407251</v>
      </c>
      <c r="O38" t="n">
        <v>0.01487484752469595</v>
      </c>
      <c r="P38" t="n">
        <v>0.08789682628229427</v>
      </c>
      <c r="Q38" t="inlineStr"/>
      <c r="R38" t="inlineStr">
        <is>
          <t>Case C — all Inv_base × (German DSO stock_s / stock_Build)</t>
        </is>
      </c>
      <c r="S38" t="n">
        <v>100</v>
      </c>
      <c r="T38" t="n">
        <v>100</v>
      </c>
      <c r="U38" t="n">
        <v>321.0269297084504</v>
      </c>
      <c r="V38" t="n">
        <v>67.61294329407251</v>
      </c>
      <c r="W38" t="n">
        <v>96.99989278678871</v>
      </c>
      <c r="X38" t="n">
        <v>3.446737540567732e-05</v>
      </c>
    </row>
    <row r="39">
      <c r="A39" t="inlineStr">
        <is>
          <t>Build</t>
        </is>
      </c>
      <c r="B39" t="n">
        <v>2040</v>
      </c>
      <c r="C39" t="inlineStr">
        <is>
          <t>C_dso_capacity_all_inv</t>
        </is>
      </c>
      <c r="D39" t="n">
        <v>949.7493364305732</v>
      </c>
      <c r="E39" t="n">
        <v>774.2869111904625</v>
      </c>
      <c r="F39" t="n">
        <v>134.0115757122618</v>
      </c>
      <c r="G39" t="n">
        <v>138.1562756701306</v>
      </c>
      <c r="H39" t="n">
        <v>100</v>
      </c>
      <c r="I39" t="n">
        <v>100</v>
      </c>
      <c r="J39" t="n">
        <v>100</v>
      </c>
      <c r="K39" t="n">
        <v>100</v>
      </c>
      <c r="L39" t="n">
        <v>24</v>
      </c>
      <c r="M39" t="n">
        <v>66.43788597306501</v>
      </c>
      <c r="N39" t="n">
        <v>6.995307437934875</v>
      </c>
      <c r="O39" t="n">
        <v>0.01538967636345672</v>
      </c>
      <c r="P39" t="n">
        <v>0.09093899669315338</v>
      </c>
      <c r="Q39" t="inlineStr"/>
      <c r="R39" t="inlineStr">
        <is>
          <t>Case C — all Inv_base × (German DSO stock_s / stock_Build)</t>
        </is>
      </c>
      <c r="S39" t="n">
        <v>100</v>
      </c>
      <c r="T39" t="n">
        <v>100</v>
      </c>
      <c r="U39" t="n">
        <v>505.2099928690948</v>
      </c>
      <c r="V39" t="n">
        <v>69.95307437934876</v>
      </c>
      <c r="W39" t="n">
        <v>96.99999154018535</v>
      </c>
      <c r="X39" t="n">
        <v>2.365126436063616e-05</v>
      </c>
    </row>
    <row r="40">
      <c r="A40" t="inlineStr">
        <is>
          <t>Build</t>
        </is>
      </c>
      <c r="B40" t="n">
        <v>2030</v>
      </c>
      <c r="C40" t="inlineStr">
        <is>
          <t>D_peak_flow_all_inv</t>
        </is>
      </c>
      <c r="D40" t="n">
        <v>650.3465492493959</v>
      </c>
      <c r="E40" t="n">
        <v>515.9321054852131</v>
      </c>
      <c r="F40" t="n">
        <v>75.19562595060088</v>
      </c>
      <c r="G40" t="n">
        <v>77.52134955023627</v>
      </c>
      <c r="H40" t="n">
        <v>100</v>
      </c>
      <c r="I40" t="n">
        <v>100</v>
      </c>
      <c r="J40" t="n">
        <v>100</v>
      </c>
      <c r="K40" t="n">
        <v>100</v>
      </c>
      <c r="L40" t="n">
        <v>34</v>
      </c>
      <c r="M40" t="n">
        <v>43.97184435589514</v>
      </c>
      <c r="N40" t="n">
        <v>6.761294329407251</v>
      </c>
      <c r="O40" t="n">
        <v>0.01487484752469595</v>
      </c>
      <c r="P40" t="n">
        <v>0.08789682628229427</v>
      </c>
      <c r="Q40" t="inlineStr"/>
      <c r="R40" t="inlineStr">
        <is>
          <t>Case D — all Inv_base × (German peak HV→LV_s / peak_Build)</t>
        </is>
      </c>
      <c r="S40" t="n">
        <v>100</v>
      </c>
      <c r="T40" t="n">
        <v>100</v>
      </c>
      <c r="U40" t="n">
        <v>321.0269297084504</v>
      </c>
      <c r="V40" t="n">
        <v>67.61294329407251</v>
      </c>
      <c r="W40" t="n">
        <v>96.99989278678871</v>
      </c>
      <c r="X40" t="n">
        <v>3.446737540567732e-05</v>
      </c>
    </row>
    <row r="41">
      <c r="A41" t="inlineStr">
        <is>
          <t>Build</t>
        </is>
      </c>
      <c r="B41" t="n">
        <v>2040</v>
      </c>
      <c r="C41" t="inlineStr">
        <is>
          <t>D_peak_flow_all_inv</t>
        </is>
      </c>
      <c r="D41" t="n">
        <v>949.7493364305732</v>
      </c>
      <c r="E41" t="n">
        <v>774.2869111904625</v>
      </c>
      <c r="F41" t="n">
        <v>134.0115757122618</v>
      </c>
      <c r="G41" t="n">
        <v>138.1562756701306</v>
      </c>
      <c r="H41" t="n">
        <v>100</v>
      </c>
      <c r="I41" t="n">
        <v>100</v>
      </c>
      <c r="J41" t="n">
        <v>100</v>
      </c>
      <c r="K41" t="n">
        <v>100</v>
      </c>
      <c r="L41" t="n">
        <v>24</v>
      </c>
      <c r="M41" t="n">
        <v>66.43788597306501</v>
      </c>
      <c r="N41" t="n">
        <v>6.995307437934875</v>
      </c>
      <c r="O41" t="n">
        <v>0.01538967636345672</v>
      </c>
      <c r="P41" t="n">
        <v>0.09093899669315338</v>
      </c>
      <c r="Q41" t="inlineStr"/>
      <c r="R41" t="inlineStr">
        <is>
          <t>Case D — all Inv_base × (German peak HV→LV_s / peak_Build)</t>
        </is>
      </c>
      <c r="S41" t="n">
        <v>100</v>
      </c>
      <c r="T41" t="n">
        <v>100</v>
      </c>
      <c r="U41" t="n">
        <v>505.2099928690948</v>
      </c>
      <c r="V41" t="n">
        <v>69.95307437934876</v>
      </c>
      <c r="W41" t="n">
        <v>96.99999154018535</v>
      </c>
      <c r="X41" t="n">
        <v>2.365126436063616e-05</v>
      </c>
    </row>
    <row r="42">
      <c r="A42" t="inlineStr">
        <is>
          <t>Build</t>
        </is>
      </c>
      <c r="B42" t="n">
        <v>2030</v>
      </c>
      <c r="C42" t="inlineStr">
        <is>
          <t>E_tso_dso_split</t>
        </is>
      </c>
      <c r="D42" t="n">
        <v>650.3465492493959</v>
      </c>
      <c r="E42" t="n">
        <v>515.9321054852131</v>
      </c>
      <c r="F42" t="n">
        <v>75.19562595060088</v>
      </c>
      <c r="G42" t="n">
        <v>77.52134955023627</v>
      </c>
      <c r="H42" t="n">
        <v>100</v>
      </c>
      <c r="I42" t="n">
        <v>100</v>
      </c>
      <c r="J42" t="n">
        <v>100</v>
      </c>
      <c r="K42" t="n">
        <v>100</v>
      </c>
      <c r="L42" t="n">
        <v>34</v>
      </c>
      <c r="M42" t="n">
        <v>43.97184435589514</v>
      </c>
      <c r="N42" t="n">
        <v>6.761294329407251</v>
      </c>
      <c r="O42" t="n">
        <v>0.01487484752469595</v>
      </c>
      <c r="P42" t="n">
        <v>0.08789682628229427</v>
      </c>
      <c r="Q42" t="inlineStr"/>
      <c r="R42" t="inlineStr">
        <is>
          <t>Case E — VNB share × DSO peak; ÜNB share × TSO stock GW-km (recommended)</t>
        </is>
      </c>
      <c r="S42" t="n">
        <v>100</v>
      </c>
      <c r="T42" t="n">
        <v>100</v>
      </c>
      <c r="U42" t="n">
        <v>321.0269297084504</v>
      </c>
      <c r="V42" t="n">
        <v>67.61294329407251</v>
      </c>
      <c r="W42" t="n">
        <v>96.99989278678871</v>
      </c>
      <c r="X42" t="n">
        <v>3.446737540567732e-05</v>
      </c>
    </row>
    <row r="43">
      <c r="A43" t="inlineStr">
        <is>
          <t>Build</t>
        </is>
      </c>
      <c r="B43" t="n">
        <v>2040</v>
      </c>
      <c r="C43" t="inlineStr">
        <is>
          <t>E_tso_dso_split</t>
        </is>
      </c>
      <c r="D43" t="n">
        <v>949.7493364305732</v>
      </c>
      <c r="E43" t="n">
        <v>774.2869111904625</v>
      </c>
      <c r="F43" t="n">
        <v>134.0115757122618</v>
      </c>
      <c r="G43" t="n">
        <v>138.1562756701306</v>
      </c>
      <c r="H43" t="n">
        <v>100</v>
      </c>
      <c r="I43" t="n">
        <v>100</v>
      </c>
      <c r="J43" t="n">
        <v>100</v>
      </c>
      <c r="K43" t="n">
        <v>100</v>
      </c>
      <c r="L43" t="n">
        <v>24</v>
      </c>
      <c r="M43" t="n">
        <v>66.43788597306501</v>
      </c>
      <c r="N43" t="n">
        <v>6.995307437934875</v>
      </c>
      <c r="O43" t="n">
        <v>0.01538967636345672</v>
      </c>
      <c r="P43" t="n">
        <v>0.09093899669315338</v>
      </c>
      <c r="Q43" t="inlineStr"/>
      <c r="R43" t="inlineStr">
        <is>
          <t>Case E — VNB share × DSO peak; ÜNB share × TSO stock GW-km (recommended)</t>
        </is>
      </c>
      <c r="S43" t="n">
        <v>100</v>
      </c>
      <c r="T43" t="n">
        <v>100</v>
      </c>
      <c r="U43" t="n">
        <v>505.2099928690948</v>
      </c>
      <c r="V43" t="n">
        <v>69.95307437934876</v>
      </c>
      <c r="W43" t="n">
        <v>96.99999154018535</v>
      </c>
      <c r="X43" t="n">
        <v>2.365126436063616e-05</v>
      </c>
    </row>
    <row r="44">
      <c r="A44" t="inlineStr">
        <is>
          <t>Build</t>
        </is>
      </c>
      <c r="B44" t="n">
        <v>2030</v>
      </c>
      <c r="C44" t="inlineStr">
        <is>
          <t>E_dso_only_tso_nep</t>
        </is>
      </c>
      <c r="D44" t="n">
        <v>650.3465492493959</v>
      </c>
      <c r="E44" t="n">
        <v>515.9321054852131</v>
      </c>
      <c r="F44" t="n">
        <v>75.19562595060088</v>
      </c>
      <c r="G44" t="n">
        <v>77.52134955023627</v>
      </c>
      <c r="H44" t="n">
        <v>100</v>
      </c>
      <c r="I44" t="n">
        <v>100</v>
      </c>
      <c r="J44" t="n">
        <v>100</v>
      </c>
      <c r="K44" t="n">
        <v>100</v>
      </c>
      <c r="L44" t="n">
        <v>34</v>
      </c>
      <c r="M44" t="n">
        <v>43.97184435589514</v>
      </c>
      <c r="N44" t="n">
        <v>6.761294329407251</v>
      </c>
      <c r="O44" t="n">
        <v>0.01487484752469595</v>
      </c>
      <c r="P44" t="n">
        <v>0.08789682628229427</v>
      </c>
      <c r="Q44" t="inlineStr"/>
      <c r="R44" t="inlineStr">
        <is>
          <t>Sensitivity — VNB share × DSO peak; ÜNB share left at Excel B (NEP TSO continues)</t>
        </is>
      </c>
      <c r="S44" t="n">
        <v>100</v>
      </c>
      <c r="T44" t="n">
        <v>100</v>
      </c>
      <c r="U44" t="n">
        <v>321.0269297084504</v>
      </c>
      <c r="V44" t="n">
        <v>67.61294329407251</v>
      </c>
      <c r="W44" t="n">
        <v>96.99989278678871</v>
      </c>
      <c r="X44" t="n">
        <v>3.446737540567732e-05</v>
      </c>
    </row>
    <row r="45">
      <c r="A45" t="inlineStr">
        <is>
          <t>Build</t>
        </is>
      </c>
      <c r="B45" t="n">
        <v>2040</v>
      </c>
      <c r="C45" t="inlineStr">
        <is>
          <t>E_dso_only_tso_nep</t>
        </is>
      </c>
      <c r="D45" t="n">
        <v>949.7493364305732</v>
      </c>
      <c r="E45" t="n">
        <v>774.2869111904625</v>
      </c>
      <c r="F45" t="n">
        <v>134.0115757122618</v>
      </c>
      <c r="G45" t="n">
        <v>138.1562756701306</v>
      </c>
      <c r="H45" t="n">
        <v>100</v>
      </c>
      <c r="I45" t="n">
        <v>100</v>
      </c>
      <c r="J45" t="n">
        <v>100</v>
      </c>
      <c r="K45" t="n">
        <v>100</v>
      </c>
      <c r="L45" t="n">
        <v>24</v>
      </c>
      <c r="M45" t="n">
        <v>66.43788597306501</v>
      </c>
      <c r="N45" t="n">
        <v>6.995307437934875</v>
      </c>
      <c r="O45" t="n">
        <v>0.01538967636345672</v>
      </c>
      <c r="P45" t="n">
        <v>0.09093899669315338</v>
      </c>
      <c r="Q45" t="inlineStr"/>
      <c r="R45" t="inlineStr">
        <is>
          <t>Sensitivity — VNB share × DSO peak; ÜNB share left at Excel B (NEP TSO continues)</t>
        </is>
      </c>
      <c r="S45" t="n">
        <v>100</v>
      </c>
      <c r="T45" t="n">
        <v>100</v>
      </c>
      <c r="U45" t="n">
        <v>505.2099928690948</v>
      </c>
      <c r="V45" t="n">
        <v>69.95307437934876</v>
      </c>
      <c r="W45" t="n">
        <v>96.99999154018535</v>
      </c>
      <c r="X45" t="n">
        <v>2.365126436063616e-05</v>
      </c>
    </row>
    <row r="46">
      <c r="A46" t="inlineStr">
        <is>
          <t>Build</t>
        </is>
      </c>
      <c r="B46" t="n">
        <v>2030</v>
      </c>
      <c r="C46" t="inlineStr">
        <is>
          <t>E_tso_new_volume</t>
        </is>
      </c>
      <c r="D46" t="n">
        <v>650.3465492493959</v>
      </c>
      <c r="E46" t="n">
        <v>515.9321054852131</v>
      </c>
      <c r="F46" t="n">
        <v>75.19562595060088</v>
      </c>
      <c r="G46" t="n">
        <v>77.52134955023627</v>
      </c>
      <c r="H46" t="n">
        <v>100</v>
      </c>
      <c r="I46" t="n">
        <v>100</v>
      </c>
      <c r="J46" t="n">
        <v>100</v>
      </c>
      <c r="K46" t="n">
        <v>100</v>
      </c>
      <c r="L46" t="n">
        <v>34</v>
      </c>
      <c r="M46" t="n">
        <v>43.97184435589514</v>
      </c>
      <c r="N46" t="n">
        <v>6.761294329407251</v>
      </c>
      <c r="O46" t="n">
        <v>0.01487484752469595</v>
      </c>
      <c r="P46" t="n">
        <v>0.08789682628229427</v>
      </c>
      <c r="Q46" t="inlineStr"/>
      <c r="R46" t="inlineStr">
        <is>
          <t>Sensitivity — VNB × DSO peak; ÜNB × TSO *new* GW-km (not recommended)</t>
        </is>
      </c>
      <c r="S46" t="n">
        <v>100</v>
      </c>
      <c r="T46" t="n">
        <v>100</v>
      </c>
      <c r="U46" t="n">
        <v>321.0269297084504</v>
      </c>
      <c r="V46" t="n">
        <v>67.61294329407251</v>
      </c>
      <c r="W46" t="n">
        <v>96.99989278678871</v>
      </c>
      <c r="X46" t="n">
        <v>3.446737540567732e-05</v>
      </c>
    </row>
    <row r="47">
      <c r="A47" t="inlineStr">
        <is>
          <t>Build</t>
        </is>
      </c>
      <c r="B47" t="n">
        <v>2040</v>
      </c>
      <c r="C47" t="inlineStr">
        <is>
          <t>E_tso_new_volume</t>
        </is>
      </c>
      <c r="D47" t="n">
        <v>949.7493364305732</v>
      </c>
      <c r="E47" t="n">
        <v>774.2869111904625</v>
      </c>
      <c r="F47" t="n">
        <v>134.0115757122618</v>
      </c>
      <c r="G47" t="n">
        <v>138.1562756701306</v>
      </c>
      <c r="H47" t="n">
        <v>100</v>
      </c>
      <c r="I47" t="n">
        <v>100</v>
      </c>
      <c r="J47" t="n">
        <v>100</v>
      </c>
      <c r="K47" t="n">
        <v>100</v>
      </c>
      <c r="L47" t="n">
        <v>24</v>
      </c>
      <c r="M47" t="n">
        <v>66.43788597306501</v>
      </c>
      <c r="N47" t="n">
        <v>6.995307437934875</v>
      </c>
      <c r="O47" t="n">
        <v>0.01538967636345672</v>
      </c>
      <c r="P47" t="n">
        <v>0.09093899669315338</v>
      </c>
      <c r="Q47" t="inlineStr"/>
      <c r="R47" t="inlineStr">
        <is>
          <t>Sensitivity — VNB × DSO peak; ÜNB × TSO *new* GW-km (not recommended)</t>
        </is>
      </c>
      <c r="S47" t="n">
        <v>100</v>
      </c>
      <c r="T47" t="n">
        <v>100</v>
      </c>
      <c r="U47" t="n">
        <v>505.2099928690948</v>
      </c>
      <c r="V47" t="n">
        <v>69.95307437934876</v>
      </c>
      <c r="W47" t="n">
        <v>96.99999154018535</v>
      </c>
      <c r="X47" t="n">
        <v>2.365126436063616e-05</v>
      </c>
    </row>
    <row r="48">
      <c r="A48" t="inlineStr">
        <is>
          <t>85%</t>
        </is>
      </c>
      <c r="B48" t="n">
        <v>2030</v>
      </c>
      <c r="C48" t="inlineStr">
        <is>
          <t>A_demand_scaled</t>
        </is>
      </c>
      <c r="D48" t="n">
        <v>642.202160124732</v>
      </c>
      <c r="E48" t="n">
        <v>507.2347290760693</v>
      </c>
      <c r="F48" t="n">
        <v>70.9540842529581</v>
      </c>
      <c r="G48" t="n">
        <v>73.14855482343131</v>
      </c>
      <c r="H48" t="n">
        <v>94.35923812965711</v>
      </c>
      <c r="I48" t="n">
        <v>94.35923812965711</v>
      </c>
      <c r="J48" t="n">
        <v>95.63385072856214</v>
      </c>
      <c r="K48" t="n">
        <v>66.80711275706234</v>
      </c>
      <c r="L48" t="n">
        <v>33.57421280921968</v>
      </c>
      <c r="M48" t="n">
        <v>43.86355370912422</v>
      </c>
      <c r="N48" t="n">
        <v>6.830178475358101</v>
      </c>
      <c r="O48" t="n">
        <v>0.01502639264578783</v>
      </c>
      <c r="P48" t="n">
        <v>0.08879232017965533</v>
      </c>
      <c r="Q48" t="inlineStr"/>
      <c r="R48" t="inlineStr">
        <is>
          <t>Case A — Excel method: Inv × (end-use_s / end-use_Build)</t>
        </is>
      </c>
      <c r="S48" t="n">
        <v>94.35932390478506</v>
      </c>
      <c r="T48" t="n">
        <v>98.74768473299906</v>
      </c>
      <c r="U48" t="n">
        <v>319.3653551368725</v>
      </c>
      <c r="V48" t="n">
        <v>68.30178475358102</v>
      </c>
      <c r="W48" t="n">
        <v>96.99998096234395</v>
      </c>
      <c r="X48" t="n">
        <v>4.11464479868054e-05</v>
      </c>
    </row>
    <row r="49">
      <c r="A49" t="inlineStr">
        <is>
          <t>85%</t>
        </is>
      </c>
      <c r="B49" t="n">
        <v>2040</v>
      </c>
      <c r="C49" t="inlineStr">
        <is>
          <t>A_demand_scaled</t>
        </is>
      </c>
      <c r="D49" t="n">
        <v>916.7295765574139</v>
      </c>
      <c r="E49" t="n">
        <v>741.7607412020624</v>
      </c>
      <c r="F49" t="n">
        <v>112.1147994820125</v>
      </c>
      <c r="G49" t="n">
        <v>115.5822713818314</v>
      </c>
      <c r="H49" t="n">
        <v>83.66052922402302</v>
      </c>
      <c r="I49" t="n">
        <v>69.98230108253998</v>
      </c>
      <c r="J49" t="n">
        <v>99.41075893012919</v>
      </c>
      <c r="K49" t="n">
        <v>98.51811496181709</v>
      </c>
      <c r="L49" t="n">
        <v>23.16559642996523</v>
      </c>
      <c r="M49" t="n">
        <v>65.58569774478073</v>
      </c>
      <c r="N49" t="n">
        <v>7.1543123972365</v>
      </c>
      <c r="O49" t="n">
        <v>0.0157394872739203</v>
      </c>
      <c r="P49" t="n">
        <v>0.09300606116407449</v>
      </c>
      <c r="Q49" t="inlineStr"/>
      <c r="R49" t="inlineStr">
        <is>
          <t>Case A — Excel method: Inv × (end-use_s / end-use_Build)</t>
        </is>
      </c>
      <c r="S49" t="n">
        <v>83.66053371593495</v>
      </c>
      <c r="T49" t="n">
        <v>96.52331845818847</v>
      </c>
      <c r="U49" t="n">
        <v>494.6506177527571</v>
      </c>
      <c r="V49" t="n">
        <v>71.543123972365</v>
      </c>
      <c r="W49" t="n">
        <v>96.99999674832139</v>
      </c>
      <c r="X49" t="n">
        <v>1.953830536956028e-05</v>
      </c>
    </row>
    <row r="50">
      <c r="A50" t="inlineStr">
        <is>
          <t>85%</t>
        </is>
      </c>
      <c r="B50" t="n">
        <v>2030</v>
      </c>
      <c r="C50" t="inlineStr">
        <is>
          <t>B_denominator_only</t>
        </is>
      </c>
      <c r="D50" t="n">
        <v>642.202160124732</v>
      </c>
      <c r="E50" t="n">
        <v>507.2347290760693</v>
      </c>
      <c r="F50" t="n">
        <v>70.9540842529581</v>
      </c>
      <c r="G50" t="n">
        <v>73.14855482343131</v>
      </c>
      <c r="H50" t="n">
        <v>94.35923812965711</v>
      </c>
      <c r="I50" t="n">
        <v>94.35923812965711</v>
      </c>
      <c r="J50" t="n">
        <v>95.63385072856214</v>
      </c>
      <c r="K50" t="n">
        <v>66.80711275706234</v>
      </c>
      <c r="L50" t="n">
        <v>34</v>
      </c>
      <c r="M50" t="n">
        <v>43.97184435589514</v>
      </c>
      <c r="N50" t="n">
        <v>6.847040867529111</v>
      </c>
      <c r="O50" t="n">
        <v>0.01506348990856404</v>
      </c>
      <c r="P50" t="n">
        <v>0.08901153127787845</v>
      </c>
      <c r="Q50" t="inlineStr"/>
      <c r="R50" t="inlineStr">
        <is>
          <t>Case B — Excel B investment unchanged; PyPSA end-use denominator only</t>
        </is>
      </c>
      <c r="S50" t="n">
        <v>94.35932390478506</v>
      </c>
      <c r="T50" t="n">
        <v>98.74768473299906</v>
      </c>
      <c r="U50" t="n">
        <v>321.0269297084504</v>
      </c>
      <c r="V50" t="n">
        <v>68.47040867529111</v>
      </c>
      <c r="W50" t="n">
        <v>96.99998096234395</v>
      </c>
      <c r="X50" t="n">
        <v>4.11464479868054e-05</v>
      </c>
    </row>
    <row r="51">
      <c r="A51" t="inlineStr">
        <is>
          <t>85%</t>
        </is>
      </c>
      <c r="B51" t="n">
        <v>2040</v>
      </c>
      <c r="C51" t="inlineStr">
        <is>
          <t>B_denominator_only</t>
        </is>
      </c>
      <c r="D51" t="n">
        <v>916.7295765574139</v>
      </c>
      <c r="E51" t="n">
        <v>741.7607412020624</v>
      </c>
      <c r="F51" t="n">
        <v>112.1147994820125</v>
      </c>
      <c r="G51" t="n">
        <v>115.5822713818314</v>
      </c>
      <c r="H51" t="n">
        <v>83.66052922402302</v>
      </c>
      <c r="I51" t="n">
        <v>69.98230108253998</v>
      </c>
      <c r="J51" t="n">
        <v>99.41075893012919</v>
      </c>
      <c r="K51" t="n">
        <v>98.51811496181709</v>
      </c>
      <c r="L51" t="n">
        <v>24</v>
      </c>
      <c r="M51" t="n">
        <v>66.43788597306501</v>
      </c>
      <c r="N51" t="n">
        <v>7.247272006054237</v>
      </c>
      <c r="O51" t="n">
        <v>0.01594399841331932</v>
      </c>
      <c r="P51" t="n">
        <v>0.0942145360787051</v>
      </c>
      <c r="Q51" t="inlineStr"/>
      <c r="R51" t="inlineStr">
        <is>
          <t>Case B — Excel B investment unchanged; PyPSA end-use denominator only</t>
        </is>
      </c>
      <c r="S51" t="n">
        <v>83.66053371593495</v>
      </c>
      <c r="T51" t="n">
        <v>96.52331845818847</v>
      </c>
      <c r="U51" t="n">
        <v>505.2099928690948</v>
      </c>
      <c r="V51" t="n">
        <v>72.47272006054239</v>
      </c>
      <c r="W51" t="n">
        <v>96.99999674832139</v>
      </c>
      <c r="X51" t="n">
        <v>1.953830536956028e-05</v>
      </c>
    </row>
    <row r="52">
      <c r="A52" t="inlineStr">
        <is>
          <t>85%</t>
        </is>
      </c>
      <c r="B52" t="n">
        <v>2030</v>
      </c>
      <c r="C52" t="inlineStr">
        <is>
          <t>C_dso_capacity_all_inv</t>
        </is>
      </c>
      <c r="D52" t="n">
        <v>642.202160124732</v>
      </c>
      <c r="E52" t="n">
        <v>507.2347290760693</v>
      </c>
      <c r="F52" t="n">
        <v>70.9540842529581</v>
      </c>
      <c r="G52" t="n">
        <v>73.14855482343131</v>
      </c>
      <c r="H52" t="n">
        <v>94.35923812965711</v>
      </c>
      <c r="I52" t="n">
        <v>94.35923812965711</v>
      </c>
      <c r="J52" t="n">
        <v>95.63385072856214</v>
      </c>
      <c r="K52" t="n">
        <v>66.80711275706234</v>
      </c>
      <c r="L52" t="n">
        <v>32.08214096408341</v>
      </c>
      <c r="M52" t="n">
        <v>43.48407440904855</v>
      </c>
      <c r="N52" t="n">
        <v>6.771088157131524</v>
      </c>
      <c r="O52" t="n">
        <v>0.01489639394568935</v>
      </c>
      <c r="P52" t="n">
        <v>0.08802414604270981</v>
      </c>
      <c r="Q52" t="inlineStr"/>
      <c r="R52" t="inlineStr">
        <is>
          <t>Case C — all Inv_base × (German DSO stock_s / stock_Build)</t>
        </is>
      </c>
      <c r="S52" t="n">
        <v>94.35932390478506</v>
      </c>
      <c r="T52" t="n">
        <v>98.74768473299906</v>
      </c>
      <c r="U52" t="n">
        <v>313.5427548085199</v>
      </c>
      <c r="V52" t="n">
        <v>67.71088157131524</v>
      </c>
      <c r="W52" t="n">
        <v>96.99998096234395</v>
      </c>
      <c r="X52" t="n">
        <v>4.11464479868054e-05</v>
      </c>
    </row>
    <row r="53">
      <c r="A53" t="inlineStr">
        <is>
          <t>85%</t>
        </is>
      </c>
      <c r="B53" t="n">
        <v>2040</v>
      </c>
      <c r="C53" t="inlineStr">
        <is>
          <t>C_dso_capacity_all_inv</t>
        </is>
      </c>
      <c r="D53" t="n">
        <v>916.7295765574139</v>
      </c>
      <c r="E53" t="n">
        <v>741.7607412020624</v>
      </c>
      <c r="F53" t="n">
        <v>112.1147994820125</v>
      </c>
      <c r="G53" t="n">
        <v>115.5822713818314</v>
      </c>
      <c r="H53" t="n">
        <v>83.66052922402302</v>
      </c>
      <c r="I53" t="n">
        <v>69.98230108253998</v>
      </c>
      <c r="J53" t="n">
        <v>99.41075893012919</v>
      </c>
      <c r="K53" t="n">
        <v>98.51811496181709</v>
      </c>
      <c r="L53" t="n">
        <v>20.07852701376553</v>
      </c>
      <c r="M53" t="n">
        <v>62.45381702585539</v>
      </c>
      <c r="N53" t="n">
        <v>6.812676128590465</v>
      </c>
      <c r="O53" t="n">
        <v>0.01498788748289902</v>
      </c>
      <c r="P53" t="n">
        <v>0.08856478967167604</v>
      </c>
      <c r="Q53" t="inlineStr"/>
      <c r="R53" t="inlineStr">
        <is>
          <t>Case C — all Inv_base × (German DSO stock_s / stock_Build)</t>
        </is>
      </c>
      <c r="S53" t="n">
        <v>83.66053371593495</v>
      </c>
      <c r="T53" t="n">
        <v>96.52331845818847</v>
      </c>
      <c r="U53" t="n">
        <v>455.8232624852917</v>
      </c>
      <c r="V53" t="n">
        <v>68.12676128590465</v>
      </c>
      <c r="W53" t="n">
        <v>96.99999674832139</v>
      </c>
      <c r="X53" t="n">
        <v>1.953830536956028e-05</v>
      </c>
    </row>
    <row r="54">
      <c r="A54" t="inlineStr">
        <is>
          <t>85%</t>
        </is>
      </c>
      <c r="B54" t="n">
        <v>2030</v>
      </c>
      <c r="C54" t="inlineStr">
        <is>
          <t>D_peak_flow_all_inv</t>
        </is>
      </c>
      <c r="D54" t="n">
        <v>642.202160124732</v>
      </c>
      <c r="E54" t="n">
        <v>507.2347290760693</v>
      </c>
      <c r="F54" t="n">
        <v>70.9540842529581</v>
      </c>
      <c r="G54" t="n">
        <v>73.14855482343131</v>
      </c>
      <c r="H54" t="n">
        <v>94.35923812965711</v>
      </c>
      <c r="I54" t="n">
        <v>94.35923812965711</v>
      </c>
      <c r="J54" t="n">
        <v>95.63385072856214</v>
      </c>
      <c r="K54" t="n">
        <v>66.80711275706234</v>
      </c>
      <c r="L54" t="n">
        <v>32.08217012762692</v>
      </c>
      <c r="M54" t="n">
        <v>43.48408182622563</v>
      </c>
      <c r="N54" t="n">
        <v>6.771089312091369</v>
      </c>
      <c r="O54" t="n">
        <v>0.01489639648660101</v>
      </c>
      <c r="P54" t="n">
        <v>0.0880241610571878</v>
      </c>
      <c r="Q54" t="inlineStr"/>
      <c r="R54" t="inlineStr">
        <is>
          <t>Case D — all Inv_base × (German peak HV→LV_s / peak_Build)</t>
        </is>
      </c>
      <c r="S54" t="n">
        <v>94.35932390478506</v>
      </c>
      <c r="T54" t="n">
        <v>98.74768473299906</v>
      </c>
      <c r="U54" t="n">
        <v>313.5428686151429</v>
      </c>
      <c r="V54" t="n">
        <v>67.7108931209137</v>
      </c>
      <c r="W54" t="n">
        <v>96.99998096234395</v>
      </c>
      <c r="X54" t="n">
        <v>4.11464479868054e-05</v>
      </c>
    </row>
    <row r="55">
      <c r="A55" t="inlineStr">
        <is>
          <t>85%</t>
        </is>
      </c>
      <c r="B55" t="n">
        <v>2040</v>
      </c>
      <c r="C55" t="inlineStr">
        <is>
          <t>D_peak_flow_all_inv</t>
        </is>
      </c>
      <c r="D55" t="n">
        <v>916.7295765574139</v>
      </c>
      <c r="E55" t="n">
        <v>741.7607412020624</v>
      </c>
      <c r="F55" t="n">
        <v>112.1147994820125</v>
      </c>
      <c r="G55" t="n">
        <v>115.5822713818314</v>
      </c>
      <c r="H55" t="n">
        <v>83.66052922402302</v>
      </c>
      <c r="I55" t="n">
        <v>69.98230108253998</v>
      </c>
      <c r="J55" t="n">
        <v>99.41075893012919</v>
      </c>
      <c r="K55" t="n">
        <v>98.51811496181709</v>
      </c>
      <c r="L55" t="n">
        <v>20.07852809182439</v>
      </c>
      <c r="M55" t="n">
        <v>62.45382534231152</v>
      </c>
      <c r="N55" t="n">
        <v>6.812677035777965</v>
      </c>
      <c r="O55" t="n">
        <v>0.01498788947871152</v>
      </c>
      <c r="P55" t="n">
        <v>0.08856480146511356</v>
      </c>
      <c r="Q55" t="inlineStr"/>
      <c r="R55" t="inlineStr">
        <is>
          <t>Case D — all Inv_base × (German peak HV→LV_s / peak_Build)</t>
        </is>
      </c>
      <c r="S55" t="n">
        <v>83.66053371593495</v>
      </c>
      <c r="T55" t="n">
        <v>96.52331845818847</v>
      </c>
      <c r="U55" t="n">
        <v>455.8233584687912</v>
      </c>
      <c r="V55" t="n">
        <v>68.12677035777965</v>
      </c>
      <c r="W55" t="n">
        <v>96.99999674832139</v>
      </c>
      <c r="X55" t="n">
        <v>1.953830536956028e-05</v>
      </c>
    </row>
    <row r="56">
      <c r="A56" t="inlineStr">
        <is>
          <t>85%</t>
        </is>
      </c>
      <c r="B56" t="n">
        <v>2030</v>
      </c>
      <c r="C56" t="inlineStr">
        <is>
          <t>E_tso_dso_split</t>
        </is>
      </c>
      <c r="D56" t="n">
        <v>642.202160124732</v>
      </c>
      <c r="E56" t="n">
        <v>507.2347290760693</v>
      </c>
      <c r="F56" t="n">
        <v>70.9540842529581</v>
      </c>
      <c r="G56" t="n">
        <v>73.14855482343131</v>
      </c>
      <c r="H56" t="n">
        <v>94.35923812965711</v>
      </c>
      <c r="I56" t="n">
        <v>94.35923812965711</v>
      </c>
      <c r="J56" t="n">
        <v>95.63385072856214</v>
      </c>
      <c r="K56" t="n">
        <v>66.80711275706234</v>
      </c>
      <c r="L56" t="n">
        <v>32.33305067083356</v>
      </c>
      <c r="M56" t="n">
        <v>43.54788838704841</v>
      </c>
      <c r="N56" t="n">
        <v>6.781024900101597</v>
      </c>
      <c r="O56" t="n">
        <v>0.01491825478022351</v>
      </c>
      <c r="P56" t="n">
        <v>0.08815332370132076</v>
      </c>
      <c r="Q56" t="inlineStr"/>
      <c r="R56" t="inlineStr">
        <is>
          <t>Case E — VNB share × DSO peak; ÜNB share × TSO stock GW-km (recommended)</t>
        </is>
      </c>
      <c r="S56" t="n">
        <v>94.35932390478506</v>
      </c>
      <c r="T56" t="n">
        <v>98.74768473299906</v>
      </c>
      <c r="U56" t="n">
        <v>314.5218946171508</v>
      </c>
      <c r="V56" t="n">
        <v>67.81024900101598</v>
      </c>
      <c r="W56" t="n">
        <v>96.99998096234395</v>
      </c>
      <c r="X56" t="n">
        <v>4.11464479868054e-05</v>
      </c>
    </row>
    <row r="57">
      <c r="A57" t="inlineStr">
        <is>
          <t>85%</t>
        </is>
      </c>
      <c r="B57" t="n">
        <v>2040</v>
      </c>
      <c r="C57" t="inlineStr">
        <is>
          <t>E_tso_dso_split</t>
        </is>
      </c>
      <c r="D57" t="n">
        <v>916.7295765574139</v>
      </c>
      <c r="E57" t="n">
        <v>741.7607412020624</v>
      </c>
      <c r="F57" t="n">
        <v>112.1147994820125</v>
      </c>
      <c r="G57" t="n">
        <v>115.5822713818314</v>
      </c>
      <c r="H57" t="n">
        <v>83.66052922402302</v>
      </c>
      <c r="I57" t="n">
        <v>69.98230108253998</v>
      </c>
      <c r="J57" t="n">
        <v>99.41075893012919</v>
      </c>
      <c r="K57" t="n">
        <v>98.51811496181709</v>
      </c>
      <c r="L57" t="n">
        <v>22.26698043737559</v>
      </c>
      <c r="M57" t="n">
        <v>64.47057893263383</v>
      </c>
      <c r="N57" t="n">
        <v>7.032671420370181</v>
      </c>
      <c r="O57" t="n">
        <v>0.0154718771248144</v>
      </c>
      <c r="P57" t="n">
        <v>0.09142472846481237</v>
      </c>
      <c r="Q57" t="inlineStr"/>
      <c r="R57" t="inlineStr">
        <is>
          <t>Case E — VNB share × DSO peak; ÜNB share × TSO stock GW-km (recommended)</t>
        </is>
      </c>
      <c r="S57" t="n">
        <v>83.66053371593495</v>
      </c>
      <c r="T57" t="n">
        <v>96.52331845818847</v>
      </c>
      <c r="U57" t="n">
        <v>481.026528256844</v>
      </c>
      <c r="V57" t="n">
        <v>70.32671420370181</v>
      </c>
      <c r="W57" t="n">
        <v>96.99999674832139</v>
      </c>
      <c r="X57" t="n">
        <v>1.953830536956028e-05</v>
      </c>
    </row>
    <row r="58">
      <c r="A58" t="inlineStr">
        <is>
          <t>85%</t>
        </is>
      </c>
      <c r="B58" t="n">
        <v>2030</v>
      </c>
      <c r="C58" t="inlineStr">
        <is>
          <t>E_dso_only_tso_nep</t>
        </is>
      </c>
      <c r="D58" t="n">
        <v>642.202160124732</v>
      </c>
      <c r="E58" t="n">
        <v>507.2347290760693</v>
      </c>
      <c r="F58" t="n">
        <v>70.9540842529581</v>
      </c>
      <c r="G58" t="n">
        <v>73.14855482343131</v>
      </c>
      <c r="H58" t="n">
        <v>94.35923812965711</v>
      </c>
      <c r="I58" t="n">
        <v>94.35923812965711</v>
      </c>
      <c r="J58" t="n">
        <v>95.63385072856214</v>
      </c>
      <c r="K58" t="n">
        <v>66.80711275706234</v>
      </c>
      <c r="L58" t="n">
        <v>33.1924926853166</v>
      </c>
      <c r="M58" t="n">
        <v>43.76647065919219</v>
      </c>
      <c r="N58" t="n">
        <v>6.815061265239536</v>
      </c>
      <c r="O58" t="n">
        <v>0.01499313478352698</v>
      </c>
      <c r="P58" t="n">
        <v>0.08859579644811395</v>
      </c>
      <c r="Q58" t="inlineStr"/>
      <c r="R58" t="inlineStr">
        <is>
          <t>Sensitivity — VNB share × DSO peak; ÜNB share left at Excel B (NEP TSO continues)</t>
        </is>
      </c>
      <c r="S58" t="n">
        <v>94.35932390478506</v>
      </c>
      <c r="T58" t="n">
        <v>98.74768473299906</v>
      </c>
      <c r="U58" t="n">
        <v>317.8757460902157</v>
      </c>
      <c r="V58" t="n">
        <v>68.15061265239535</v>
      </c>
      <c r="W58" t="n">
        <v>96.99998096234395</v>
      </c>
      <c r="X58" t="n">
        <v>4.11464479868054e-05</v>
      </c>
    </row>
    <row r="59">
      <c r="A59" t="inlineStr">
        <is>
          <t>85%</t>
        </is>
      </c>
      <c r="B59" t="n">
        <v>2040</v>
      </c>
      <c r="C59" t="inlineStr">
        <is>
          <t>E_dso_only_tso_nep</t>
        </is>
      </c>
      <c r="D59" t="n">
        <v>916.7295765574139</v>
      </c>
      <c r="E59" t="n">
        <v>741.7607412020624</v>
      </c>
      <c r="F59" t="n">
        <v>112.1147994820125</v>
      </c>
      <c r="G59" t="n">
        <v>115.5822713818314</v>
      </c>
      <c r="H59" t="n">
        <v>83.66052922402302</v>
      </c>
      <c r="I59" t="n">
        <v>69.98230108253998</v>
      </c>
      <c r="J59" t="n">
        <v>99.41075893012919</v>
      </c>
      <c r="K59" t="n">
        <v>98.51811496181709</v>
      </c>
      <c r="L59" t="n">
        <v>22.34885393339974</v>
      </c>
      <c r="M59" t="n">
        <v>64.76038676011616</v>
      </c>
      <c r="N59" t="n">
        <v>7.064284650148438</v>
      </c>
      <c r="O59" t="n">
        <v>0.01554142623032656</v>
      </c>
      <c r="P59" t="n">
        <v>0.09183570045192969</v>
      </c>
      <c r="Q59" t="inlineStr"/>
      <c r="R59" t="inlineStr">
        <is>
          <t>Sensitivity — VNB share × DSO peak; ÜNB share left at Excel B (NEP TSO continues)</t>
        </is>
      </c>
      <c r="S59" t="n">
        <v>83.66053371593495</v>
      </c>
      <c r="T59" t="n">
        <v>96.52331845818847</v>
      </c>
      <c r="U59" t="n">
        <v>484.4156204900196</v>
      </c>
      <c r="V59" t="n">
        <v>70.64284650148437</v>
      </c>
      <c r="W59" t="n">
        <v>96.99999674832139</v>
      </c>
      <c r="X59" t="n">
        <v>1.953830536956028e-05</v>
      </c>
    </row>
    <row r="60">
      <c r="A60" t="inlineStr">
        <is>
          <t>85%</t>
        </is>
      </c>
      <c r="B60" t="n">
        <v>2030</v>
      </c>
      <c r="C60" t="inlineStr">
        <is>
          <t>E_tso_new_volume</t>
        </is>
      </c>
      <c r="D60" t="n">
        <v>642.202160124732</v>
      </c>
      <c r="E60" t="n">
        <v>507.2347290760693</v>
      </c>
      <c r="F60" t="n">
        <v>70.9540842529581</v>
      </c>
      <c r="G60" t="n">
        <v>73.14855482343131</v>
      </c>
      <c r="H60" t="n">
        <v>94.35923812965711</v>
      </c>
      <c r="I60" t="n">
        <v>94.35923812965711</v>
      </c>
      <c r="J60" t="n">
        <v>95.63385072856214</v>
      </c>
      <c r="K60" t="n">
        <v>66.80711275706234</v>
      </c>
      <c r="L60" t="n">
        <v>26.65873488065413</v>
      </c>
      <c r="M60" t="n">
        <v>42.10473711287577</v>
      </c>
      <c r="N60" t="n">
        <v>6.556305744081887</v>
      </c>
      <c r="O60" t="n">
        <v>0.01442387263698015</v>
      </c>
      <c r="P60" t="n">
        <v>0.08523197467306454</v>
      </c>
      <c r="Q60" t="inlineStr"/>
      <c r="R60" t="inlineStr">
        <is>
          <t>Sensitivity — VNB × DSO peak; ÜNB × TSO *new* GW-km (not recommended)</t>
        </is>
      </c>
      <c r="S60" t="n">
        <v>94.35932390478506</v>
      </c>
      <c r="T60" t="n">
        <v>98.74768473299906</v>
      </c>
      <c r="U60" t="n">
        <v>292.3786760511188</v>
      </c>
      <c r="V60" t="n">
        <v>65.56305744081888</v>
      </c>
      <c r="W60" t="n">
        <v>96.99998096234395</v>
      </c>
      <c r="X60" t="n">
        <v>4.11464479868054e-05</v>
      </c>
    </row>
    <row r="61">
      <c r="A61" t="inlineStr">
        <is>
          <t>85%</t>
        </is>
      </c>
      <c r="B61" t="n">
        <v>2040</v>
      </c>
      <c r="C61" t="inlineStr">
        <is>
          <t>E_tso_new_volume</t>
        </is>
      </c>
      <c r="D61" t="n">
        <v>916.7295765574139</v>
      </c>
      <c r="E61" t="n">
        <v>741.7607412020624</v>
      </c>
      <c r="F61" t="n">
        <v>112.1147994820125</v>
      </c>
      <c r="G61" t="n">
        <v>115.5822713818314</v>
      </c>
      <c r="H61" t="n">
        <v>83.66052922402302</v>
      </c>
      <c r="I61" t="n">
        <v>69.98230108253998</v>
      </c>
      <c r="J61" t="n">
        <v>99.41075893012919</v>
      </c>
      <c r="K61" t="n">
        <v>98.51811496181709</v>
      </c>
      <c r="L61" t="n">
        <v>22.1429499070417</v>
      </c>
      <c r="M61" t="n">
        <v>62.92897812135425</v>
      </c>
      <c r="N61" t="n">
        <v>6.86450832727257</v>
      </c>
      <c r="O61" t="n">
        <v>0.01510191831999965</v>
      </c>
      <c r="P61" t="n">
        <v>0.08923860825454341</v>
      </c>
      <c r="Q61" t="inlineStr"/>
      <c r="R61" t="inlineStr">
        <is>
          <t>Sensitivity — VNB × DSO peak; ÜNB × TSO *new* GW-km (not recommended)</t>
        </is>
      </c>
      <c r="S61" t="n">
        <v>83.66053371593495</v>
      </c>
      <c r="T61" t="n">
        <v>96.52331845818847</v>
      </c>
      <c r="U61" t="n">
        <v>463.3101119977903</v>
      </c>
      <c r="V61" t="n">
        <v>68.6450832727257</v>
      </c>
      <c r="W61" t="n">
        <v>96.99999674832139</v>
      </c>
      <c r="X61" t="n">
        <v>1.953830536956028e-05</v>
      </c>
    </row>
    <row r="62">
      <c r="A62" t="inlineStr">
        <is>
          <t>75%</t>
        </is>
      </c>
      <c r="B62" t="n">
        <v>2030</v>
      </c>
      <c r="C62" t="inlineStr">
        <is>
          <t>A_demand_scaled</t>
        </is>
      </c>
      <c r="D62" t="n">
        <v>654.6208134934595</v>
      </c>
      <c r="E62" t="n">
        <v>481.5880636057075</v>
      </c>
      <c r="F62" t="n">
        <v>68.44465565340461</v>
      </c>
      <c r="G62" t="n">
        <v>70.56150915402884</v>
      </c>
      <c r="H62" t="n">
        <v>91.02203401180829</v>
      </c>
      <c r="I62" t="n">
        <v>91.02203401180829</v>
      </c>
      <c r="J62" t="n">
        <v>95.56753750440404</v>
      </c>
      <c r="K62" t="n">
        <v>66.30297805269149</v>
      </c>
      <c r="L62" t="n">
        <v>34.22345776181313</v>
      </c>
      <c r="M62" t="n">
        <v>44.02867646845442</v>
      </c>
      <c r="N62" t="n">
        <v>6.725828993045655</v>
      </c>
      <c r="O62" t="n">
        <v>0.01479682378470044</v>
      </c>
      <c r="P62" t="n">
        <v>0.0874357769095935</v>
      </c>
      <c r="Q62" t="inlineStr"/>
      <c r="R62" t="inlineStr">
        <is>
          <t>Case A — Excel method: Inv × (end-use_s / end-use_Build)</t>
        </is>
      </c>
      <c r="S62" t="n">
        <v>91.02212367826917</v>
      </c>
      <c r="T62" t="n">
        <v>100.6572287112151</v>
      </c>
      <c r="U62" t="n">
        <v>321.8989421665282</v>
      </c>
      <c r="V62" t="n">
        <v>67.25828993045654</v>
      </c>
      <c r="W62" t="n">
        <v>96.99998834208131</v>
      </c>
      <c r="X62" t="n">
        <v>4.960598202998708e-05</v>
      </c>
    </row>
    <row r="63">
      <c r="A63" t="inlineStr">
        <is>
          <t>75%</t>
        </is>
      </c>
      <c r="B63" t="n">
        <v>2040</v>
      </c>
      <c r="C63" t="inlineStr">
        <is>
          <t>A_demand_scaled</t>
        </is>
      </c>
      <c r="D63" t="n">
        <v>890.1722387777472</v>
      </c>
      <c r="E63" t="n">
        <v>716.6444881997602</v>
      </c>
      <c r="F63" t="n">
        <v>101.0675336625607</v>
      </c>
      <c r="G63" t="n">
        <v>104.1933364980485</v>
      </c>
      <c r="H63" t="n">
        <v>75.41701308366633</v>
      </c>
      <c r="I63" t="n">
        <v>55.46609767037396</v>
      </c>
      <c r="J63" t="n">
        <v>96.09919710214103</v>
      </c>
      <c r="K63" t="n">
        <v>90.18985310629304</v>
      </c>
      <c r="L63" t="n">
        <v>22.49449713853804</v>
      </c>
      <c r="M63" t="n">
        <v>65.15037047276782</v>
      </c>
      <c r="N63" t="n">
        <v>7.318849952254483</v>
      </c>
      <c r="O63" t="n">
        <v>0.01610146989495986</v>
      </c>
      <c r="P63" t="n">
        <v>0.09514504937930829</v>
      </c>
      <c r="Q63" t="inlineStr"/>
      <c r="R63" t="inlineStr">
        <is>
          <t>Case A — Excel method: Inv × (end-use_s / end-use_Build)</t>
        </is>
      </c>
      <c r="S63" t="n">
        <v>75.41701761612319</v>
      </c>
      <c r="T63" t="n">
        <v>93.72707141057518</v>
      </c>
      <c r="U63" t="n">
        <v>489.011666063065</v>
      </c>
      <c r="V63" t="n">
        <v>73.18849952254483</v>
      </c>
      <c r="W63" t="n">
        <v>96.99999736974898</v>
      </c>
      <c r="X63" t="n">
        <v>2.775839263566754e-05</v>
      </c>
    </row>
    <row r="64">
      <c r="A64" t="inlineStr">
        <is>
          <t>75%</t>
        </is>
      </c>
      <c r="B64" t="n">
        <v>2030</v>
      </c>
      <c r="C64" t="inlineStr">
        <is>
          <t>B_denominator_only</t>
        </is>
      </c>
      <c r="D64" t="n">
        <v>654.6208134934595</v>
      </c>
      <c r="E64" t="n">
        <v>481.5880636057075</v>
      </c>
      <c r="F64" t="n">
        <v>68.44465565340461</v>
      </c>
      <c r="G64" t="n">
        <v>70.56150915402884</v>
      </c>
      <c r="H64" t="n">
        <v>91.02203401180829</v>
      </c>
      <c r="I64" t="n">
        <v>91.02203401180829</v>
      </c>
      <c r="J64" t="n">
        <v>95.56753750440404</v>
      </c>
      <c r="K64" t="n">
        <v>66.30297805269149</v>
      </c>
      <c r="L64" t="n">
        <v>34</v>
      </c>
      <c r="M64" t="n">
        <v>43.97184435589514</v>
      </c>
      <c r="N64" t="n">
        <v>6.717147308719734</v>
      </c>
      <c r="O64" t="n">
        <v>0.01477772407918342</v>
      </c>
      <c r="P64" t="n">
        <v>0.08732291501335655</v>
      </c>
      <c r="Q64" t="inlineStr"/>
      <c r="R64" t="inlineStr">
        <is>
          <t>Case B — Excel B investment unchanged; PyPSA end-use denominator only</t>
        </is>
      </c>
      <c r="S64" t="n">
        <v>91.02212367826917</v>
      </c>
      <c r="T64" t="n">
        <v>100.6572287112151</v>
      </c>
      <c r="U64" t="n">
        <v>321.0269297084504</v>
      </c>
      <c r="V64" t="n">
        <v>67.17147308719733</v>
      </c>
      <c r="W64" t="n">
        <v>96.99998834208131</v>
      </c>
      <c r="X64" t="n">
        <v>4.960598202998708e-05</v>
      </c>
    </row>
    <row r="65">
      <c r="A65" t="inlineStr">
        <is>
          <t>75%</t>
        </is>
      </c>
      <c r="B65" t="n">
        <v>2040</v>
      </c>
      <c r="C65" t="inlineStr">
        <is>
          <t>B_denominator_only</t>
        </is>
      </c>
      <c r="D65" t="n">
        <v>890.1722387777472</v>
      </c>
      <c r="E65" t="n">
        <v>716.6444881997602</v>
      </c>
      <c r="F65" t="n">
        <v>101.0675336625607</v>
      </c>
      <c r="G65" t="n">
        <v>104.1933364980485</v>
      </c>
      <c r="H65" t="n">
        <v>75.41701308366633</v>
      </c>
      <c r="I65" t="n">
        <v>55.46609767037396</v>
      </c>
      <c r="J65" t="n">
        <v>96.09919710214103</v>
      </c>
      <c r="K65" t="n">
        <v>90.18985310629304</v>
      </c>
      <c r="L65" t="n">
        <v>24</v>
      </c>
      <c r="M65" t="n">
        <v>66.43788597306501</v>
      </c>
      <c r="N65" t="n">
        <v>7.463486624149016</v>
      </c>
      <c r="O65" t="n">
        <v>0.01641967057312784</v>
      </c>
      <c r="P65" t="n">
        <v>0.09702532611393723</v>
      </c>
      <c r="Q65" t="inlineStr"/>
      <c r="R65" t="inlineStr">
        <is>
          <t>Case B — Excel B investment unchanged; PyPSA end-use denominator only</t>
        </is>
      </c>
      <c r="S65" t="n">
        <v>75.41701761612319</v>
      </c>
      <c r="T65" t="n">
        <v>93.72707141057518</v>
      </c>
      <c r="U65" t="n">
        <v>505.2099928690948</v>
      </c>
      <c r="V65" t="n">
        <v>74.63486624149017</v>
      </c>
      <c r="W65" t="n">
        <v>96.99999736974898</v>
      </c>
      <c r="X65" t="n">
        <v>2.775839263566754e-05</v>
      </c>
    </row>
    <row r="66">
      <c r="A66" t="inlineStr">
        <is>
          <t>75%</t>
        </is>
      </c>
      <c r="B66" t="n">
        <v>2030</v>
      </c>
      <c r="C66" t="inlineStr">
        <is>
          <t>C_dso_capacity_all_inv</t>
        </is>
      </c>
      <c r="D66" t="n">
        <v>654.6208134934595</v>
      </c>
      <c r="E66" t="n">
        <v>481.5880636057075</v>
      </c>
      <c r="F66" t="n">
        <v>68.44465565340461</v>
      </c>
      <c r="G66" t="n">
        <v>70.56150915402884</v>
      </c>
      <c r="H66" t="n">
        <v>91.02203401180829</v>
      </c>
      <c r="I66" t="n">
        <v>91.02203401180829</v>
      </c>
      <c r="J66" t="n">
        <v>95.56753750440404</v>
      </c>
      <c r="K66" t="n">
        <v>66.30297805269149</v>
      </c>
      <c r="L66" t="n">
        <v>30.94749156401482</v>
      </c>
      <c r="M66" t="n">
        <v>43.1954985193735</v>
      </c>
      <c r="N66" t="n">
        <v>6.598552571045785</v>
      </c>
      <c r="O66" t="n">
        <v>0.01451681565630072</v>
      </c>
      <c r="P66" t="n">
        <v>0.08578118342359518</v>
      </c>
      <c r="Q66" t="inlineStr"/>
      <c r="R66" t="inlineStr">
        <is>
          <t>Case C — all Inv_base × (German DSO stock_s / stock_Build)</t>
        </is>
      </c>
      <c r="S66" t="n">
        <v>91.02212367826917</v>
      </c>
      <c r="T66" t="n">
        <v>100.6572287112151</v>
      </c>
      <c r="U66" t="n">
        <v>309.1149452556889</v>
      </c>
      <c r="V66" t="n">
        <v>65.98552571045785</v>
      </c>
      <c r="W66" t="n">
        <v>96.99998834208131</v>
      </c>
      <c r="X66" t="n">
        <v>4.960598202998708e-05</v>
      </c>
    </row>
    <row r="67">
      <c r="A67" t="inlineStr">
        <is>
          <t>75%</t>
        </is>
      </c>
      <c r="B67" t="n">
        <v>2040</v>
      </c>
      <c r="C67" t="inlineStr">
        <is>
          <t>C_dso_capacity_all_inv</t>
        </is>
      </c>
      <c r="D67" t="n">
        <v>890.1722387777472</v>
      </c>
      <c r="E67" t="n">
        <v>716.6444881997602</v>
      </c>
      <c r="F67" t="n">
        <v>101.0675336625607</v>
      </c>
      <c r="G67" t="n">
        <v>104.1933364980485</v>
      </c>
      <c r="H67" t="n">
        <v>75.41701308366633</v>
      </c>
      <c r="I67" t="n">
        <v>55.46609767037396</v>
      </c>
      <c r="J67" t="n">
        <v>96.09919710214103</v>
      </c>
      <c r="K67" t="n">
        <v>90.18985310629304</v>
      </c>
      <c r="L67" t="n">
        <v>18.10008314007992</v>
      </c>
      <c r="M67" t="n">
        <v>60.40166520818379</v>
      </c>
      <c r="N67" t="n">
        <v>6.785390801573234</v>
      </c>
      <c r="O67" t="n">
        <v>0.01492785976346111</v>
      </c>
      <c r="P67" t="n">
        <v>0.08821008042045204</v>
      </c>
      <c r="Q67" t="inlineStr"/>
      <c r="R67" t="inlineStr">
        <is>
          <t>Case C — all Inv_base × (German DSO stock_s / stock_Build)</t>
        </is>
      </c>
      <c r="S67" t="n">
        <v>75.41701761612319</v>
      </c>
      <c r="T67" t="n">
        <v>93.72707141057518</v>
      </c>
      <c r="U67" t="n">
        <v>430.4261449275891</v>
      </c>
      <c r="V67" t="n">
        <v>67.85390801573234</v>
      </c>
      <c r="W67" t="n">
        <v>96.99999736974898</v>
      </c>
      <c r="X67" t="n">
        <v>2.775839263566754e-05</v>
      </c>
    </row>
    <row r="68">
      <c r="A68" t="inlineStr">
        <is>
          <t>75%</t>
        </is>
      </c>
      <c r="B68" t="n">
        <v>2030</v>
      </c>
      <c r="C68" t="inlineStr">
        <is>
          <t>D_peak_flow_all_inv</t>
        </is>
      </c>
      <c r="D68" t="n">
        <v>654.6208134934595</v>
      </c>
      <c r="E68" t="n">
        <v>481.5880636057075</v>
      </c>
      <c r="F68" t="n">
        <v>68.44465565340461</v>
      </c>
      <c r="G68" t="n">
        <v>70.56150915402884</v>
      </c>
      <c r="H68" t="n">
        <v>91.02203401180829</v>
      </c>
      <c r="I68" t="n">
        <v>91.02203401180829</v>
      </c>
      <c r="J68" t="n">
        <v>95.56753750440404</v>
      </c>
      <c r="K68" t="n">
        <v>66.30297805269149</v>
      </c>
      <c r="L68" t="n">
        <v>30.94752205061152</v>
      </c>
      <c r="M68" t="n">
        <v>43.19550627304329</v>
      </c>
      <c r="N68" t="n">
        <v>6.598553755497855</v>
      </c>
      <c r="O68" t="n">
        <v>0.01451681826209528</v>
      </c>
      <c r="P68" t="n">
        <v>0.08578119882147213</v>
      </c>
      <c r="Q68" t="inlineStr"/>
      <c r="R68" t="inlineStr">
        <is>
          <t>Case D — all Inv_base × (German peak HV→LV_s / peak_Build)</t>
        </is>
      </c>
      <c r="S68" t="n">
        <v>91.02212367826917</v>
      </c>
      <c r="T68" t="n">
        <v>100.6572287112151</v>
      </c>
      <c r="U68" t="n">
        <v>309.1150642253407</v>
      </c>
      <c r="V68" t="n">
        <v>65.98553755497855</v>
      </c>
      <c r="W68" t="n">
        <v>96.99998834208131</v>
      </c>
      <c r="X68" t="n">
        <v>4.960598202998708e-05</v>
      </c>
    </row>
    <row r="69">
      <c r="A69" t="inlineStr">
        <is>
          <t>75%</t>
        </is>
      </c>
      <c r="B69" t="n">
        <v>2040</v>
      </c>
      <c r="C69" t="inlineStr">
        <is>
          <t>D_peak_flow_all_inv</t>
        </is>
      </c>
      <c r="D69" t="n">
        <v>890.1722387777472</v>
      </c>
      <c r="E69" t="n">
        <v>716.6444881997602</v>
      </c>
      <c r="F69" t="n">
        <v>101.0675336625607</v>
      </c>
      <c r="G69" t="n">
        <v>104.1933364980485</v>
      </c>
      <c r="H69" t="n">
        <v>75.41701308366633</v>
      </c>
      <c r="I69" t="n">
        <v>55.46609767037396</v>
      </c>
      <c r="J69" t="n">
        <v>96.09919710214103</v>
      </c>
      <c r="K69" t="n">
        <v>90.18985310629304</v>
      </c>
      <c r="L69" t="n">
        <v>18.10008422786957</v>
      </c>
      <c r="M69" t="n">
        <v>60.40167386695903</v>
      </c>
      <c r="N69" t="n">
        <v>6.785391774281083</v>
      </c>
      <c r="O69" t="n">
        <v>0.01492786190341838</v>
      </c>
      <c r="P69" t="n">
        <v>0.0882100930656541</v>
      </c>
      <c r="Q69" t="inlineStr"/>
      <c r="R69" t="inlineStr">
        <is>
          <t>Case D — all Inv_base × (German peak HV→LV_s / peak_Build)</t>
        </is>
      </c>
      <c r="S69" t="n">
        <v>75.41701761612319</v>
      </c>
      <c r="T69" t="n">
        <v>93.72707141057518</v>
      </c>
      <c r="U69" t="n">
        <v>430.4262448272843</v>
      </c>
      <c r="V69" t="n">
        <v>67.85391774281084</v>
      </c>
      <c r="W69" t="n">
        <v>96.99999736974898</v>
      </c>
      <c r="X69" t="n">
        <v>2.775839263566754e-05</v>
      </c>
    </row>
    <row r="70">
      <c r="A70" t="inlineStr">
        <is>
          <t>75%</t>
        </is>
      </c>
      <c r="B70" t="n">
        <v>2030</v>
      </c>
      <c r="C70" t="inlineStr">
        <is>
          <t>E_tso_dso_split</t>
        </is>
      </c>
      <c r="D70" t="n">
        <v>654.6208134934595</v>
      </c>
      <c r="E70" t="n">
        <v>481.5880636057075</v>
      </c>
      <c r="F70" t="n">
        <v>68.44465565340461</v>
      </c>
      <c r="G70" t="n">
        <v>70.56150915402884</v>
      </c>
      <c r="H70" t="n">
        <v>91.02203401180829</v>
      </c>
      <c r="I70" t="n">
        <v>91.02203401180829</v>
      </c>
      <c r="J70" t="n">
        <v>95.56753750440404</v>
      </c>
      <c r="K70" t="n">
        <v>66.30297805269149</v>
      </c>
      <c r="L70" t="n">
        <v>31.84225087744017</v>
      </c>
      <c r="M70" t="n">
        <v>43.42306305596177</v>
      </c>
      <c r="N70" t="n">
        <v>6.633315372945382</v>
      </c>
      <c r="O70" t="n">
        <v>0.01459329382047984</v>
      </c>
      <c r="P70" t="n">
        <v>0.08623309984828997</v>
      </c>
      <c r="Q70" t="inlineStr"/>
      <c r="R70" t="inlineStr">
        <is>
          <t>Case E — VNB share × DSO peak; ÜNB share × TSO stock GW-km (recommended)</t>
        </is>
      </c>
      <c r="S70" t="n">
        <v>91.02212367826917</v>
      </c>
      <c r="T70" t="n">
        <v>100.6572287112151</v>
      </c>
      <c r="U70" t="n">
        <v>312.6066175160627</v>
      </c>
      <c r="V70" t="n">
        <v>66.33315372945383</v>
      </c>
      <c r="W70" t="n">
        <v>96.99998834208131</v>
      </c>
      <c r="X70" t="n">
        <v>4.960598202998708e-05</v>
      </c>
    </row>
    <row r="71">
      <c r="A71" t="inlineStr">
        <is>
          <t>75%</t>
        </is>
      </c>
      <c r="B71" t="n">
        <v>2040</v>
      </c>
      <c r="C71" t="inlineStr">
        <is>
          <t>E_tso_dso_split</t>
        </is>
      </c>
      <c r="D71" t="n">
        <v>890.1722387777472</v>
      </c>
      <c r="E71" t="n">
        <v>716.6444881997602</v>
      </c>
      <c r="F71" t="n">
        <v>101.0675336625607</v>
      </c>
      <c r="G71" t="n">
        <v>104.1933364980485</v>
      </c>
      <c r="H71" t="n">
        <v>75.41701308366633</v>
      </c>
      <c r="I71" t="n">
        <v>55.46609767037396</v>
      </c>
      <c r="J71" t="n">
        <v>96.09919710214103</v>
      </c>
      <c r="K71" t="n">
        <v>90.18985310629304</v>
      </c>
      <c r="L71" t="n">
        <v>20.97381864066362</v>
      </c>
      <c r="M71" t="n">
        <v>63.19249286276147</v>
      </c>
      <c r="N71" t="n">
        <v>7.098906268918029</v>
      </c>
      <c r="O71" t="n">
        <v>0.01561759379161967</v>
      </c>
      <c r="P71" t="n">
        <v>0.0922857814959344</v>
      </c>
      <c r="Q71" t="inlineStr"/>
      <c r="R71" t="inlineStr">
        <is>
          <t>Case E — VNB share × DSO peak; ÜNB share × TSO stock GW-km (recommended)</t>
        </is>
      </c>
      <c r="S71" t="n">
        <v>75.41701761612319</v>
      </c>
      <c r="T71" t="n">
        <v>93.72707141057518</v>
      </c>
      <c r="U71" t="n">
        <v>465.1481489568827</v>
      </c>
      <c r="V71" t="n">
        <v>70.9890626891803</v>
      </c>
      <c r="W71" t="n">
        <v>96.99999736974898</v>
      </c>
      <c r="X71" t="n">
        <v>2.775839263566754e-05</v>
      </c>
    </row>
    <row r="72">
      <c r="A72" t="inlineStr">
        <is>
          <t>75%</t>
        </is>
      </c>
      <c r="B72" t="n">
        <v>2030</v>
      </c>
      <c r="C72" t="inlineStr">
        <is>
          <t>E_dso_only_tso_nep</t>
        </is>
      </c>
      <c r="D72" t="n">
        <v>654.6208134934595</v>
      </c>
      <c r="E72" t="n">
        <v>481.5880636057075</v>
      </c>
      <c r="F72" t="n">
        <v>68.44465565340461</v>
      </c>
      <c r="G72" t="n">
        <v>70.56150915402884</v>
      </c>
      <c r="H72" t="n">
        <v>91.02203401180829</v>
      </c>
      <c r="I72" t="n">
        <v>91.02203401180829</v>
      </c>
      <c r="J72" t="n">
        <v>95.56753750440404</v>
      </c>
      <c r="K72" t="n">
        <v>66.30297805269149</v>
      </c>
      <c r="L72" t="n">
        <v>32.71474612657327</v>
      </c>
      <c r="M72" t="n">
        <v>43.64496516311542</v>
      </c>
      <c r="N72" t="n">
        <v>6.667213181047363</v>
      </c>
      <c r="O72" t="n">
        <v>0.0146678689983042</v>
      </c>
      <c r="P72" t="n">
        <v>0.08667377135361574</v>
      </c>
      <c r="Q72" t="inlineStr"/>
      <c r="R72" t="inlineStr">
        <is>
          <t>Sensitivity — VNB share × DSO peak; ÜNB share left at Excel B (NEP TSO continues)</t>
        </is>
      </c>
      <c r="S72" t="n">
        <v>91.02212367826917</v>
      </c>
      <c r="T72" t="n">
        <v>100.6572287112151</v>
      </c>
      <c r="U72" t="n">
        <v>316.0114073997727</v>
      </c>
      <c r="V72" t="n">
        <v>66.67213181047363</v>
      </c>
      <c r="W72" t="n">
        <v>96.99998834208131</v>
      </c>
      <c r="X72" t="n">
        <v>4.960598202998708e-05</v>
      </c>
    </row>
    <row r="73">
      <c r="A73" t="inlineStr">
        <is>
          <t>75%</t>
        </is>
      </c>
      <c r="B73" t="n">
        <v>2040</v>
      </c>
      <c r="C73" t="inlineStr">
        <is>
          <t>E_dso_only_tso_nep</t>
        </is>
      </c>
      <c r="D73" t="n">
        <v>890.1722387777472</v>
      </c>
      <c r="E73" t="n">
        <v>716.6444881997602</v>
      </c>
      <c r="F73" t="n">
        <v>101.0675336625607</v>
      </c>
      <c r="G73" t="n">
        <v>104.1933364980485</v>
      </c>
      <c r="H73" t="n">
        <v>75.41701308366633</v>
      </c>
      <c r="I73" t="n">
        <v>55.46609767037396</v>
      </c>
      <c r="J73" t="n">
        <v>96.09919710214103</v>
      </c>
      <c r="K73" t="n">
        <v>90.18985310629304</v>
      </c>
      <c r="L73" t="n">
        <v>21.51582493805034</v>
      </c>
      <c r="M73" t="n">
        <v>63.89632298102039</v>
      </c>
      <c r="N73" t="n">
        <v>7.177973003151993</v>
      </c>
      <c r="O73" t="n">
        <v>0.01579154060693438</v>
      </c>
      <c r="P73" t="n">
        <v>0.0933136490409759</v>
      </c>
      <c r="Q73" t="inlineStr"/>
      <c r="R73" t="inlineStr">
        <is>
          <t>Sensitivity — VNB share × DSO peak; ÜNB share left at Excel B (NEP TSO continues)</t>
        </is>
      </c>
      <c r="S73" t="n">
        <v>75.41701761612319</v>
      </c>
      <c r="T73" t="n">
        <v>93.72707141057518</v>
      </c>
      <c r="U73" t="n">
        <v>473.7220989567536</v>
      </c>
      <c r="V73" t="n">
        <v>71.77973003151993</v>
      </c>
      <c r="W73" t="n">
        <v>96.99999736974898</v>
      </c>
      <c r="X73" t="n">
        <v>2.775839263566754e-05</v>
      </c>
    </row>
    <row r="74">
      <c r="A74" t="inlineStr">
        <is>
          <t>75%</t>
        </is>
      </c>
      <c r="B74" t="n">
        <v>2030</v>
      </c>
      <c r="C74" t="inlineStr">
        <is>
          <t>E_tso_new_volume</t>
        </is>
      </c>
      <c r="D74" t="n">
        <v>654.6208134934595</v>
      </c>
      <c r="E74" t="n">
        <v>481.5880636057075</v>
      </c>
      <c r="F74" t="n">
        <v>68.44465565340461</v>
      </c>
      <c r="G74" t="n">
        <v>70.56150915402884</v>
      </c>
      <c r="H74" t="n">
        <v>91.02203401180829</v>
      </c>
      <c r="I74" t="n">
        <v>91.02203401180829</v>
      </c>
      <c r="J74" t="n">
        <v>95.56753750440404</v>
      </c>
      <c r="K74" t="n">
        <v>66.30297805269149</v>
      </c>
      <c r="L74" t="n">
        <v>26.08175338536623</v>
      </c>
      <c r="M74" t="n">
        <v>41.95799315097997</v>
      </c>
      <c r="N74" t="n">
        <v>6.409511015555142</v>
      </c>
      <c r="O74" t="n">
        <v>0.01410092423422132</v>
      </c>
      <c r="P74" t="n">
        <v>0.08332364320221686</v>
      </c>
      <c r="Q74" t="inlineStr"/>
      <c r="R74" t="inlineStr">
        <is>
          <t>Sensitivity — VNB × DSO peak; ÜNB × TSO *new* GW-km (not recommended)</t>
        </is>
      </c>
      <c r="S74" t="n">
        <v>91.02212367826917</v>
      </c>
      <c r="T74" t="n">
        <v>100.6572287112151</v>
      </c>
      <c r="U74" t="n">
        <v>290.1270869906671</v>
      </c>
      <c r="V74" t="n">
        <v>64.09511015555142</v>
      </c>
      <c r="W74" t="n">
        <v>96.99998834208131</v>
      </c>
      <c r="X74" t="n">
        <v>4.960598202998708e-05</v>
      </c>
    </row>
    <row r="75">
      <c r="A75" t="inlineStr">
        <is>
          <t>75%</t>
        </is>
      </c>
      <c r="B75" t="n">
        <v>2040</v>
      </c>
      <c r="C75" t="inlineStr">
        <is>
          <t>E_tso_new_volume</t>
        </is>
      </c>
      <c r="D75" t="n">
        <v>890.1722387777472</v>
      </c>
      <c r="E75" t="n">
        <v>716.6444881997602</v>
      </c>
      <c r="F75" t="n">
        <v>101.0675336625607</v>
      </c>
      <c r="G75" t="n">
        <v>104.1933364980485</v>
      </c>
      <c r="H75" t="n">
        <v>75.41701308366633</v>
      </c>
      <c r="I75" t="n">
        <v>55.46609767037396</v>
      </c>
      <c r="J75" t="n">
        <v>96.09919710214103</v>
      </c>
      <c r="K75" t="n">
        <v>90.18985310629304</v>
      </c>
      <c r="L75" t="n">
        <v>20.1527308433458</v>
      </c>
      <c r="M75" t="n">
        <v>61.00694194103259</v>
      </c>
      <c r="N75" t="n">
        <v>6.853386264302996</v>
      </c>
      <c r="O75" t="n">
        <v>0.01507744978146659</v>
      </c>
      <c r="P75" t="n">
        <v>0.08909402143593896</v>
      </c>
      <c r="Q75" t="inlineStr"/>
      <c r="R75" t="inlineStr">
        <is>
          <t>Sensitivity — VNB × DSO peak; ÜNB × TSO *new* GW-km (not recommended)</t>
        </is>
      </c>
      <c r="S75" t="n">
        <v>75.41701761612319</v>
      </c>
      <c r="T75" t="n">
        <v>93.72707141057518</v>
      </c>
      <c r="U75" t="n">
        <v>439.3860682880708</v>
      </c>
      <c r="V75" t="n">
        <v>68.53386264302996</v>
      </c>
      <c r="W75" t="n">
        <v>96.99999736974898</v>
      </c>
      <c r="X75" t="n">
        <v>2.775839263566754e-05</v>
      </c>
    </row>
    <row r="76">
      <c r="A76" t="inlineStr">
        <is>
          <t>65%</t>
        </is>
      </c>
      <c r="B76" t="n">
        <v>2030</v>
      </c>
      <c r="C76" t="inlineStr">
        <is>
          <t>A_demand_scaled</t>
        </is>
      </c>
      <c r="D76" t="n">
        <v>626.304937515055</v>
      </c>
      <c r="E76" t="n">
        <v>454.786879655909</v>
      </c>
      <c r="F76" t="n">
        <v>60.03517906916543</v>
      </c>
      <c r="G76" t="n">
        <v>61.8919376071597</v>
      </c>
      <c r="H76" t="n">
        <v>79.8385708791767</v>
      </c>
      <c r="I76" t="n">
        <v>79.8385708791767</v>
      </c>
      <c r="J76" t="n">
        <v>90.85930014147358</v>
      </c>
      <c r="K76" t="n">
        <v>30.50942584340764</v>
      </c>
      <c r="L76" t="n">
        <v>32.74310888569945</v>
      </c>
      <c r="M76" t="n">
        <v>43.65217867633632</v>
      </c>
      <c r="N76" t="n">
        <v>6.969796350246242</v>
      </c>
      <c r="O76" t="n">
        <v>0.01533355197054174</v>
      </c>
      <c r="P76" t="n">
        <v>0.09060735255320117</v>
      </c>
      <c r="Q76" t="inlineStr"/>
      <c r="R76" t="inlineStr">
        <is>
          <t>Case A — Excel method: Inv × (end-use_s / end-use_Build)</t>
        </is>
      </c>
      <c r="S76" t="n">
        <v>79.83865857916392</v>
      </c>
      <c r="T76" t="n">
        <v>96.3032614285278</v>
      </c>
      <c r="U76" t="n">
        <v>316.1220890744785</v>
      </c>
      <c r="V76" t="n">
        <v>69.69796350246243</v>
      </c>
      <c r="W76" t="n">
        <v>96.99999933791138</v>
      </c>
      <c r="X76" t="n">
        <v>7.478630522544862e-05</v>
      </c>
    </row>
    <row r="77">
      <c r="A77" t="inlineStr">
        <is>
          <t>65%</t>
        </is>
      </c>
      <c r="B77" t="n">
        <v>2040</v>
      </c>
      <c r="C77" t="inlineStr">
        <is>
          <t>A_demand_scaled</t>
        </is>
      </c>
      <c r="D77" t="n">
        <v>835.62406463538</v>
      </c>
      <c r="E77" t="n">
        <v>665.6040031195466</v>
      </c>
      <c r="F77" t="n">
        <v>87.55957393572875</v>
      </c>
      <c r="G77" t="n">
        <v>90.26760438969933</v>
      </c>
      <c r="H77" t="n">
        <v>65.33731743408254</v>
      </c>
      <c r="I77" t="n">
        <v>46.79756140286548</v>
      </c>
      <c r="J77" t="n">
        <v>90.13599436580753</v>
      </c>
      <c r="K77" t="n">
        <v>75.19296750807547</v>
      </c>
      <c r="L77" t="n">
        <v>21.11607429663642</v>
      </c>
      <c r="M77" t="n">
        <v>63.54664375471491</v>
      </c>
      <c r="N77" t="n">
        <v>7.604692880936015</v>
      </c>
      <c r="O77" t="n">
        <v>0.01673032433805923</v>
      </c>
      <c r="P77" t="n">
        <v>0.09886100745216819</v>
      </c>
      <c r="Q77" t="inlineStr"/>
      <c r="R77" t="inlineStr">
        <is>
          <t>Case A — Excel method: Inv × (end-use_s / end-use_Build)</t>
        </is>
      </c>
      <c r="S77" t="n">
        <v>65.33732139955521</v>
      </c>
      <c r="T77" t="n">
        <v>87.98364290265174</v>
      </c>
      <c r="U77" t="n">
        <v>469.3318912622065</v>
      </c>
      <c r="V77" t="n">
        <v>76.04692880936014</v>
      </c>
      <c r="W77" t="n">
        <v>96.99999742733884</v>
      </c>
      <c r="X77" t="n">
        <v>2.583343247048784e-05</v>
      </c>
    </row>
    <row r="78">
      <c r="A78" t="inlineStr">
        <is>
          <t>65%</t>
        </is>
      </c>
      <c r="B78" t="n">
        <v>2030</v>
      </c>
      <c r="C78" t="inlineStr">
        <is>
          <t>B_denominator_only</t>
        </is>
      </c>
      <c r="D78" t="n">
        <v>626.304937515055</v>
      </c>
      <c r="E78" t="n">
        <v>454.786879655909</v>
      </c>
      <c r="F78" t="n">
        <v>60.03517906916543</v>
      </c>
      <c r="G78" t="n">
        <v>61.8919376071597</v>
      </c>
      <c r="H78" t="n">
        <v>79.8385708791767</v>
      </c>
      <c r="I78" t="n">
        <v>79.8385708791767</v>
      </c>
      <c r="J78" t="n">
        <v>90.85930014147358</v>
      </c>
      <c r="K78" t="n">
        <v>30.50942584340764</v>
      </c>
      <c r="L78" t="n">
        <v>34</v>
      </c>
      <c r="M78" t="n">
        <v>43.97184435589514</v>
      </c>
      <c r="N78" t="n">
        <v>7.020836292678621</v>
      </c>
      <c r="O78" t="n">
        <v>0.01544583984389297</v>
      </c>
      <c r="P78" t="n">
        <v>0.09127087180482209</v>
      </c>
      <c r="Q78" t="inlineStr"/>
      <c r="R78" t="inlineStr">
        <is>
          <t>Case B — Excel B investment unchanged; PyPSA end-use denominator only</t>
        </is>
      </c>
      <c r="S78" t="n">
        <v>79.83865857916392</v>
      </c>
      <c r="T78" t="n">
        <v>96.3032614285278</v>
      </c>
      <c r="U78" t="n">
        <v>321.0269297084504</v>
      </c>
      <c r="V78" t="n">
        <v>70.20836292678621</v>
      </c>
      <c r="W78" t="n">
        <v>96.99999933791138</v>
      </c>
      <c r="X78" t="n">
        <v>7.478630522544862e-05</v>
      </c>
    </row>
    <row r="79">
      <c r="A79" t="inlineStr">
        <is>
          <t>65%</t>
        </is>
      </c>
      <c r="B79" t="n">
        <v>2040</v>
      </c>
      <c r="C79" t="inlineStr">
        <is>
          <t>B_denominator_only</t>
        </is>
      </c>
      <c r="D79" t="n">
        <v>835.62406463538</v>
      </c>
      <c r="E79" t="n">
        <v>665.6040031195466</v>
      </c>
      <c r="F79" t="n">
        <v>87.55957393572875</v>
      </c>
      <c r="G79" t="n">
        <v>90.26760438969933</v>
      </c>
      <c r="H79" t="n">
        <v>65.33731743408254</v>
      </c>
      <c r="I79" t="n">
        <v>46.79756140286548</v>
      </c>
      <c r="J79" t="n">
        <v>90.13599436580753</v>
      </c>
      <c r="K79" t="n">
        <v>75.19296750807547</v>
      </c>
      <c r="L79" t="n">
        <v>24</v>
      </c>
      <c r="M79" t="n">
        <v>66.43788597306501</v>
      </c>
      <c r="N79" t="n">
        <v>7.950690841108652</v>
      </c>
      <c r="O79" t="n">
        <v>0.01749151985043904</v>
      </c>
      <c r="P79" t="n">
        <v>0.1033589809344125</v>
      </c>
      <c r="Q79" t="inlineStr"/>
      <c r="R79" t="inlineStr">
        <is>
          <t>Case B — Excel B investment unchanged; PyPSA end-use denominator only</t>
        </is>
      </c>
      <c r="S79" t="n">
        <v>65.33732139955521</v>
      </c>
      <c r="T79" t="n">
        <v>87.98364290265174</v>
      </c>
      <c r="U79" t="n">
        <v>505.2099928690948</v>
      </c>
      <c r="V79" t="n">
        <v>79.50690841108654</v>
      </c>
      <c r="W79" t="n">
        <v>96.99999742733884</v>
      </c>
      <c r="X79" t="n">
        <v>2.583343247048784e-05</v>
      </c>
    </row>
    <row r="80">
      <c r="A80" t="inlineStr">
        <is>
          <t>65%</t>
        </is>
      </c>
      <c r="B80" t="n">
        <v>2030</v>
      </c>
      <c r="C80" t="inlineStr">
        <is>
          <t>C_dso_capacity_all_inv</t>
        </is>
      </c>
      <c r="D80" t="n">
        <v>626.304937515055</v>
      </c>
      <c r="E80" t="n">
        <v>454.786879655909</v>
      </c>
      <c r="F80" t="n">
        <v>60.03517906916543</v>
      </c>
      <c r="G80" t="n">
        <v>61.8919376071597</v>
      </c>
      <c r="H80" t="n">
        <v>79.8385708791767</v>
      </c>
      <c r="I80" t="n">
        <v>79.8385708791767</v>
      </c>
      <c r="J80" t="n">
        <v>90.85930014147358</v>
      </c>
      <c r="K80" t="n">
        <v>30.50942584340764</v>
      </c>
      <c r="L80" t="n">
        <v>27.14511409892008</v>
      </c>
      <c r="M80" t="n">
        <v>42.22843815711204</v>
      </c>
      <c r="N80" t="n">
        <v>6.742472496649759</v>
      </c>
      <c r="O80" t="n">
        <v>0.01483343949262947</v>
      </c>
      <c r="P80" t="n">
        <v>0.08765214245644688</v>
      </c>
      <c r="Q80" t="inlineStr"/>
      <c r="R80" t="inlineStr">
        <is>
          <t>Case C — all Inv_base × (German DSO stock_s / stock_Build)</t>
        </is>
      </c>
      <c r="S80" t="n">
        <v>79.83865857916392</v>
      </c>
      <c r="T80" t="n">
        <v>96.3032614285278</v>
      </c>
      <c r="U80" t="n">
        <v>294.2767024800811</v>
      </c>
      <c r="V80" t="n">
        <v>67.42472496649759</v>
      </c>
      <c r="W80" t="n">
        <v>96.99999933791138</v>
      </c>
      <c r="X80" t="n">
        <v>7.478630522544862e-05</v>
      </c>
    </row>
    <row r="81">
      <c r="A81" t="inlineStr">
        <is>
          <t>65%</t>
        </is>
      </c>
      <c r="B81" t="n">
        <v>2040</v>
      </c>
      <c r="C81" t="inlineStr">
        <is>
          <t>C_dso_capacity_all_inv</t>
        </is>
      </c>
      <c r="D81" t="n">
        <v>835.62406463538</v>
      </c>
      <c r="E81" t="n">
        <v>665.6040031195466</v>
      </c>
      <c r="F81" t="n">
        <v>87.55957393572875</v>
      </c>
      <c r="G81" t="n">
        <v>90.26760438969933</v>
      </c>
      <c r="H81" t="n">
        <v>65.33731743408254</v>
      </c>
      <c r="I81" t="n">
        <v>46.79756140286548</v>
      </c>
      <c r="J81" t="n">
        <v>90.13599436580753</v>
      </c>
      <c r="K81" t="n">
        <v>75.19296750807547</v>
      </c>
      <c r="L81" t="n">
        <v>15.68095618417981</v>
      </c>
      <c r="M81" t="n">
        <v>57.283425775688</v>
      </c>
      <c r="N81" t="n">
        <v>6.855167078114643</v>
      </c>
      <c r="O81" t="n">
        <v>0.01508136757185221</v>
      </c>
      <c r="P81" t="n">
        <v>0.08911717201549037</v>
      </c>
      <c r="Q81" t="inlineStr"/>
      <c r="R81" t="inlineStr">
        <is>
          <t>Case C — all Inv_base × (German DSO stock_s / stock_Build)</t>
        </is>
      </c>
      <c r="S81" t="n">
        <v>65.33732139955521</v>
      </c>
      <c r="T81" t="n">
        <v>87.98364290265174</v>
      </c>
      <c r="U81" t="n">
        <v>392.4224032714429</v>
      </c>
      <c r="V81" t="n">
        <v>68.55167078114644</v>
      </c>
      <c r="W81" t="n">
        <v>96.99999742733884</v>
      </c>
      <c r="X81" t="n">
        <v>2.583343247048784e-05</v>
      </c>
    </row>
    <row r="82">
      <c r="A82" t="inlineStr">
        <is>
          <t>65%</t>
        </is>
      </c>
      <c r="B82" t="n">
        <v>2030</v>
      </c>
      <c r="C82" t="inlineStr">
        <is>
          <t>D_peak_flow_all_inv</t>
        </is>
      </c>
      <c r="D82" t="n">
        <v>626.304937515055</v>
      </c>
      <c r="E82" t="n">
        <v>454.786879655909</v>
      </c>
      <c r="F82" t="n">
        <v>60.03517906916543</v>
      </c>
      <c r="G82" t="n">
        <v>61.8919376071597</v>
      </c>
      <c r="H82" t="n">
        <v>79.8385708791767</v>
      </c>
      <c r="I82" t="n">
        <v>79.8385708791767</v>
      </c>
      <c r="J82" t="n">
        <v>90.85930014147358</v>
      </c>
      <c r="K82" t="n">
        <v>30.50942584340764</v>
      </c>
      <c r="L82" t="n">
        <v>27.14514391691574</v>
      </c>
      <c r="M82" t="n">
        <v>42.22844574073622</v>
      </c>
      <c r="N82" t="n">
        <v>6.742473707501491</v>
      </c>
      <c r="O82" t="n">
        <v>0.01483344215650328</v>
      </c>
      <c r="P82" t="n">
        <v>0.08765215819751937</v>
      </c>
      <c r="Q82" t="inlineStr"/>
      <c r="R82" t="inlineStr">
        <is>
          <t>Case D — all Inv_base × (German peak HV→LV_s / peak_Build)</t>
        </is>
      </c>
      <c r="S82" t="n">
        <v>79.83865857916392</v>
      </c>
      <c r="T82" t="n">
        <v>96.3032614285278</v>
      </c>
      <c r="U82" t="n">
        <v>294.2768188406114</v>
      </c>
      <c r="V82" t="n">
        <v>67.4247370750149</v>
      </c>
      <c r="W82" t="n">
        <v>96.99999933791138</v>
      </c>
      <c r="X82" t="n">
        <v>7.478630522544862e-05</v>
      </c>
    </row>
    <row r="83">
      <c r="A83" t="inlineStr">
        <is>
          <t>65%</t>
        </is>
      </c>
      <c r="B83" t="n">
        <v>2040</v>
      </c>
      <c r="C83" t="inlineStr">
        <is>
          <t>D_peak_flow_all_inv</t>
        </is>
      </c>
      <c r="D83" t="n">
        <v>835.62406463538</v>
      </c>
      <c r="E83" t="n">
        <v>665.6040031195466</v>
      </c>
      <c r="F83" t="n">
        <v>87.55957393572875</v>
      </c>
      <c r="G83" t="n">
        <v>90.26760438969933</v>
      </c>
      <c r="H83" t="n">
        <v>65.33731743408254</v>
      </c>
      <c r="I83" t="n">
        <v>46.79756140286548</v>
      </c>
      <c r="J83" t="n">
        <v>90.13599436580753</v>
      </c>
      <c r="K83" t="n">
        <v>75.19296750807547</v>
      </c>
      <c r="L83" t="n">
        <v>15.68095713589325</v>
      </c>
      <c r="M83" t="n">
        <v>57.28343414439638</v>
      </c>
      <c r="N83" t="n">
        <v>6.85516807960667</v>
      </c>
      <c r="O83" t="n">
        <v>0.01508136977513467</v>
      </c>
      <c r="P83" t="n">
        <v>0.08911718503488672</v>
      </c>
      <c r="Q83" t="inlineStr"/>
      <c r="R83" t="inlineStr">
        <is>
          <t>Case D — all Inv_base × (German peak HV→LV_s / peak_Build)</t>
        </is>
      </c>
      <c r="S83" t="n">
        <v>65.33732139955521</v>
      </c>
      <c r="T83" t="n">
        <v>87.98364290265174</v>
      </c>
      <c r="U83" t="n">
        <v>392.4224997248872</v>
      </c>
      <c r="V83" t="n">
        <v>68.55168079606671</v>
      </c>
      <c r="W83" t="n">
        <v>96.99999742733884</v>
      </c>
      <c r="X83" t="n">
        <v>2.583343247048784e-05</v>
      </c>
    </row>
    <row r="84">
      <c r="A84" t="inlineStr">
        <is>
          <t>65%</t>
        </is>
      </c>
      <c r="B84" t="n">
        <v>2030</v>
      </c>
      <c r="C84" t="inlineStr">
        <is>
          <t>E_tso_dso_split</t>
        </is>
      </c>
      <c r="D84" t="n">
        <v>626.304937515055</v>
      </c>
      <c r="E84" t="n">
        <v>454.786879655909</v>
      </c>
      <c r="F84" t="n">
        <v>60.03517906916543</v>
      </c>
      <c r="G84" t="n">
        <v>61.8919376071597</v>
      </c>
      <c r="H84" t="n">
        <v>79.8385708791767</v>
      </c>
      <c r="I84" t="n">
        <v>79.8385708791767</v>
      </c>
      <c r="J84" t="n">
        <v>90.85930014147358</v>
      </c>
      <c r="K84" t="n">
        <v>30.50942584340764</v>
      </c>
      <c r="L84" t="n">
        <v>29.31447020339142</v>
      </c>
      <c r="M84" t="n">
        <v>42.7801714659491</v>
      </c>
      <c r="N84" t="n">
        <v>6.83056589585337</v>
      </c>
      <c r="O84" t="n">
        <v>0.01502724497087741</v>
      </c>
      <c r="P84" t="n">
        <v>0.0887973566460938</v>
      </c>
      <c r="Q84" t="inlineStr"/>
      <c r="R84" t="inlineStr">
        <is>
          <t>Case E — VNB share × DSO peak; ÜNB share × TSO stock GW-km (recommended)</t>
        </is>
      </c>
      <c r="S84" t="n">
        <v>79.83865857916392</v>
      </c>
      <c r="T84" t="n">
        <v>96.3032614285278</v>
      </c>
      <c r="U84" t="n">
        <v>302.7423092853988</v>
      </c>
      <c r="V84" t="n">
        <v>68.3056589585337</v>
      </c>
      <c r="W84" t="n">
        <v>96.99999933791138</v>
      </c>
      <c r="X84" t="n">
        <v>7.478630522544862e-05</v>
      </c>
    </row>
    <row r="85">
      <c r="A85" t="inlineStr">
        <is>
          <t>65%</t>
        </is>
      </c>
      <c r="B85" t="n">
        <v>2040</v>
      </c>
      <c r="C85" t="inlineStr">
        <is>
          <t>E_tso_dso_split</t>
        </is>
      </c>
      <c r="D85" t="n">
        <v>835.62406463538</v>
      </c>
      <c r="E85" t="n">
        <v>665.6040031195466</v>
      </c>
      <c r="F85" t="n">
        <v>87.55957393572875</v>
      </c>
      <c r="G85" t="n">
        <v>90.26760438969933</v>
      </c>
      <c r="H85" t="n">
        <v>65.33731743408254</v>
      </c>
      <c r="I85" t="n">
        <v>46.79756140286548</v>
      </c>
      <c r="J85" t="n">
        <v>90.13599436580753</v>
      </c>
      <c r="K85" t="n">
        <v>75.19296750807547</v>
      </c>
      <c r="L85" t="n">
        <v>19.12666748488831</v>
      </c>
      <c r="M85" t="n">
        <v>60.90623294038085</v>
      </c>
      <c r="N85" t="n">
        <v>7.288712175487305</v>
      </c>
      <c r="O85" t="n">
        <v>0.01603516678607207</v>
      </c>
      <c r="P85" t="n">
        <v>0.09475325828133495</v>
      </c>
      <c r="Q85" t="inlineStr"/>
      <c r="R85" t="inlineStr">
        <is>
          <t>Case E — VNB share × DSO peak; ÜNB share × TSO stock GW-km (recommended)</t>
        </is>
      </c>
      <c r="S85" t="n">
        <v>65.33732139955521</v>
      </c>
      <c r="T85" t="n">
        <v>87.98364290265174</v>
      </c>
      <c r="U85" t="n">
        <v>437.2107375104109</v>
      </c>
      <c r="V85" t="n">
        <v>72.88712175487305</v>
      </c>
      <c r="W85" t="n">
        <v>96.99999742733884</v>
      </c>
      <c r="X85" t="n">
        <v>2.583343247048784e-05</v>
      </c>
    </row>
    <row r="86">
      <c r="A86" t="inlineStr">
        <is>
          <t>65%</t>
        </is>
      </c>
      <c r="B86" t="n">
        <v>2030</v>
      </c>
      <c r="C86" t="inlineStr">
        <is>
          <t>E_dso_only_tso_nep</t>
        </is>
      </c>
      <c r="D86" t="n">
        <v>626.304937515055</v>
      </c>
      <c r="E86" t="n">
        <v>454.786879655909</v>
      </c>
      <c r="F86" t="n">
        <v>60.03517906916543</v>
      </c>
      <c r="G86" t="n">
        <v>61.8919376071597</v>
      </c>
      <c r="H86" t="n">
        <v>79.8385708791767</v>
      </c>
      <c r="I86" t="n">
        <v>79.8385708791767</v>
      </c>
      <c r="J86" t="n">
        <v>90.85930014147358</v>
      </c>
      <c r="K86" t="n">
        <v>30.50942584340764</v>
      </c>
      <c r="L86" t="n">
        <v>31.11374480712242</v>
      </c>
      <c r="M86" t="n">
        <v>43.23778178109139</v>
      </c>
      <c r="N86" t="n">
        <v>6.903630993656671</v>
      </c>
      <c r="O86" t="n">
        <v>0.01518798818604467</v>
      </c>
      <c r="P86" t="n">
        <v>0.08974720291753671</v>
      </c>
      <c r="Q86" t="inlineStr"/>
      <c r="R86" t="inlineStr">
        <is>
          <t>Sensitivity — VNB share × DSO peak; ÜNB share left at Excel B (NEP TSO continues)</t>
        </is>
      </c>
      <c r="S86" t="n">
        <v>79.83865857916392</v>
      </c>
      <c r="T86" t="n">
        <v>96.3032614285278</v>
      </c>
      <c r="U86" t="n">
        <v>309.7637251325183</v>
      </c>
      <c r="V86" t="n">
        <v>69.03630993656671</v>
      </c>
      <c r="W86" t="n">
        <v>96.99999933791138</v>
      </c>
      <c r="X86" t="n">
        <v>7.478630522544862e-05</v>
      </c>
    </row>
    <row r="87">
      <c r="A87" t="inlineStr">
        <is>
          <t>65%</t>
        </is>
      </c>
      <c r="B87" t="n">
        <v>2040</v>
      </c>
      <c r="C87" t="inlineStr">
        <is>
          <t>E_dso_only_tso_nep</t>
        </is>
      </c>
      <c r="D87" t="n">
        <v>835.62406463538</v>
      </c>
      <c r="E87" t="n">
        <v>665.6040031195466</v>
      </c>
      <c r="F87" t="n">
        <v>87.55957393572875</v>
      </c>
      <c r="G87" t="n">
        <v>90.26760438969933</v>
      </c>
      <c r="H87" t="n">
        <v>65.33731743408254</v>
      </c>
      <c r="I87" t="n">
        <v>46.79756140286548</v>
      </c>
      <c r="J87" t="n">
        <v>90.13599436580753</v>
      </c>
      <c r="K87" t="n">
        <v>75.19296750807547</v>
      </c>
      <c r="L87" t="n">
        <v>20.49724510984979</v>
      </c>
      <c r="M87" t="n">
        <v>62.58337993994137</v>
      </c>
      <c r="N87" t="n">
        <v>7.489418099423607</v>
      </c>
      <c r="O87" t="n">
        <v>0.01647671981873193</v>
      </c>
      <c r="P87" t="n">
        <v>0.09736243529250688</v>
      </c>
      <c r="Q87" t="inlineStr"/>
      <c r="R87" t="inlineStr">
        <is>
          <t>Sensitivity — VNB share × DSO peak; ÜNB share left at Excel B (NEP TSO continues)</t>
        </is>
      </c>
      <c r="S87" t="n">
        <v>65.33732139955521</v>
      </c>
      <c r="T87" t="n">
        <v>87.98364290265174</v>
      </c>
      <c r="U87" t="n">
        <v>457.7205220715338</v>
      </c>
      <c r="V87" t="n">
        <v>74.89418099423607</v>
      </c>
      <c r="W87" t="n">
        <v>96.99999742733884</v>
      </c>
      <c r="X87" t="n">
        <v>2.583343247048784e-05</v>
      </c>
    </row>
    <row r="88">
      <c r="A88" t="inlineStr">
        <is>
          <t>65%</t>
        </is>
      </c>
      <c r="B88" t="n">
        <v>2030</v>
      </c>
      <c r="C88" t="inlineStr">
        <is>
          <t>E_tso_new_volume</t>
        </is>
      </c>
      <c r="D88" t="n">
        <v>626.304937515055</v>
      </c>
      <c r="E88" t="n">
        <v>454.786879655909</v>
      </c>
      <c r="F88" t="n">
        <v>60.03517906916543</v>
      </c>
      <c r="G88" t="n">
        <v>61.8919376071597</v>
      </c>
      <c r="H88" t="n">
        <v>79.8385708791767</v>
      </c>
      <c r="I88" t="n">
        <v>79.8385708791767</v>
      </c>
      <c r="J88" t="n">
        <v>90.85930014147358</v>
      </c>
      <c r="K88" t="n">
        <v>30.50942584340764</v>
      </c>
      <c r="L88" t="n">
        <v>17.43507389419318</v>
      </c>
      <c r="M88" t="n">
        <v>39.75887928660086</v>
      </c>
      <c r="N88" t="n">
        <v>6.348166349182764</v>
      </c>
      <c r="O88" t="n">
        <v>0.01396596596820208</v>
      </c>
      <c r="P88" t="n">
        <v>0.08252616253937593</v>
      </c>
      <c r="Q88" t="inlineStr"/>
      <c r="R88" t="inlineStr">
        <is>
          <t>Sensitivity — VNB × DSO peak; ÜNB × TSO *new* GW-km (not recommended)</t>
        </is>
      </c>
      <c r="S88" t="n">
        <v>79.83865857916392</v>
      </c>
      <c r="T88" t="n">
        <v>96.3032614285278</v>
      </c>
      <c r="U88" t="n">
        <v>256.3846375177559</v>
      </c>
      <c r="V88" t="n">
        <v>63.48166349182764</v>
      </c>
      <c r="W88" t="n">
        <v>96.99999933791138</v>
      </c>
      <c r="X88" t="n">
        <v>7.478630522544862e-05</v>
      </c>
    </row>
    <row r="89">
      <c r="A89" t="inlineStr">
        <is>
          <t>65%</t>
        </is>
      </c>
      <c r="B89" t="n">
        <v>2040</v>
      </c>
      <c r="C89" t="inlineStr">
        <is>
          <t>E_tso_new_volume</t>
        </is>
      </c>
      <c r="D89" t="n">
        <v>835.62406463538</v>
      </c>
      <c r="E89" t="n">
        <v>665.6040031195466</v>
      </c>
      <c r="F89" t="n">
        <v>87.55957393572875</v>
      </c>
      <c r="G89" t="n">
        <v>90.26760438969933</v>
      </c>
      <c r="H89" t="n">
        <v>65.33731743408254</v>
      </c>
      <c r="I89" t="n">
        <v>46.79756140286548</v>
      </c>
      <c r="J89" t="n">
        <v>90.13599436580753</v>
      </c>
      <c r="K89" t="n">
        <v>75.19296750807547</v>
      </c>
      <c r="L89" t="n">
        <v>17.05037322676133</v>
      </c>
      <c r="M89" t="n">
        <v>56.05724383832238</v>
      </c>
      <c r="N89" t="n">
        <v>6.708428611708621</v>
      </c>
      <c r="O89" t="n">
        <v>0.01475854294575897</v>
      </c>
      <c r="P89" t="n">
        <v>0.08720957195221207</v>
      </c>
      <c r="Q89" t="inlineStr"/>
      <c r="R89" t="inlineStr">
        <is>
          <t>Sensitivity — VNB × DSO peak; ÜNB × TSO *new* GW-km (not recommended)</t>
        </is>
      </c>
      <c r="S89" t="n">
        <v>65.33732139955521</v>
      </c>
      <c r="T89" t="n">
        <v>87.98364290265174</v>
      </c>
      <c r="U89" t="n">
        <v>379.798920558205</v>
      </c>
      <c r="V89" t="n">
        <v>67.08428611708621</v>
      </c>
      <c r="W89" t="n">
        <v>96.99999742733884</v>
      </c>
      <c r="X89" t="n">
        <v>2.583343247048784e-05</v>
      </c>
    </row>
    <row r="90">
      <c r="A90" t="inlineStr">
        <is>
          <t>50%</t>
        </is>
      </c>
      <c r="B90" t="n">
        <v>2030</v>
      </c>
      <c r="C90" t="inlineStr">
        <is>
          <t>A_demand_scaled</t>
        </is>
      </c>
      <c r="D90" t="n">
        <v>581.7287281982432</v>
      </c>
      <c r="E90" t="n">
        <v>390.2007215922749</v>
      </c>
      <c r="F90" t="n">
        <v>44.99209155309669</v>
      </c>
      <c r="G90" t="n">
        <v>46.38359987976452</v>
      </c>
      <c r="H90" t="n">
        <v>59.83332352812884</v>
      </c>
      <c r="I90" t="n">
        <v>59.83332352812884</v>
      </c>
      <c r="J90" t="n">
        <v>87.76785582093765</v>
      </c>
      <c r="K90" t="n">
        <v>7.007260349286475</v>
      </c>
      <c r="L90" t="n">
        <v>30.41267272282469</v>
      </c>
      <c r="M90" t="n">
        <v>43.05947780416219</v>
      </c>
      <c r="N90" t="n">
        <v>7.401985791131199</v>
      </c>
      <c r="O90" t="n">
        <v>0.01628436874048864</v>
      </c>
      <c r="P90" t="n">
        <v>0.09622581528470557</v>
      </c>
      <c r="Q90" t="inlineStr"/>
      <c r="R90" t="inlineStr">
        <is>
          <t>Case A — Excel method: Inv × (end-use_s / end-use_Build)</t>
        </is>
      </c>
      <c r="S90" t="n">
        <v>59.83338922220535</v>
      </c>
      <c r="T90" t="n">
        <v>89.44903742007261</v>
      </c>
      <c r="U90" t="n">
        <v>307.0278900173814</v>
      </c>
      <c r="V90" t="n">
        <v>74.01985791131197</v>
      </c>
      <c r="W90" t="n">
        <v>96.99999928794898</v>
      </c>
      <c r="X90" t="n">
        <v>19.63211128782479</v>
      </c>
    </row>
    <row r="91">
      <c r="A91" t="inlineStr">
        <is>
          <t>50%</t>
        </is>
      </c>
      <c r="B91" t="n">
        <v>2040</v>
      </c>
      <c r="C91" t="inlineStr">
        <is>
          <t>A_demand_scaled</t>
        </is>
      </c>
      <c r="D91" t="n">
        <v>787.2176722369813</v>
      </c>
      <c r="E91" t="n">
        <v>618.0896449300902</v>
      </c>
      <c r="F91" t="n">
        <v>70.57066354809535</v>
      </c>
      <c r="G91" t="n">
        <v>72.75326170536935</v>
      </c>
      <c r="H91" t="n">
        <v>52.66012083235292</v>
      </c>
      <c r="I91" t="n">
        <v>43.48922891975452</v>
      </c>
      <c r="J91" t="n">
        <v>78.44107477717776</v>
      </c>
      <c r="K91" t="n">
        <v>45.78136121094114</v>
      </c>
      <c r="L91" t="n">
        <v>19.89285320766176</v>
      </c>
      <c r="M91" t="n">
        <v>61.86708986014433</v>
      </c>
      <c r="N91" t="n">
        <v>7.858955920583052</v>
      </c>
      <c r="O91" t="n">
        <v>0.01728970302528271</v>
      </c>
      <c r="P91" t="n">
        <v>0.1021664269675797</v>
      </c>
      <c r="Q91" t="inlineStr"/>
      <c r="R91" t="inlineStr">
        <is>
          <t>Case A — Excel method: Inv × (end-use_s / end-use_Build)</t>
        </is>
      </c>
      <c r="S91" t="n">
        <v>52.66012519666111</v>
      </c>
      <c r="T91" t="n">
        <v>82.88688836525732</v>
      </c>
      <c r="U91" t="n">
        <v>448.9419963175441</v>
      </c>
      <c r="V91" t="n">
        <v>78.58955920583053</v>
      </c>
      <c r="W91" t="n">
        <v>96.99999957924508</v>
      </c>
      <c r="X91" t="n">
        <v>0.0002487105708932783</v>
      </c>
    </row>
    <row r="92">
      <c r="A92" t="inlineStr">
        <is>
          <t>50%</t>
        </is>
      </c>
      <c r="B92" t="n">
        <v>2030</v>
      </c>
      <c r="C92" t="inlineStr">
        <is>
          <t>B_denominator_only</t>
        </is>
      </c>
      <c r="D92" t="n">
        <v>581.7287281982432</v>
      </c>
      <c r="E92" t="n">
        <v>390.2007215922749</v>
      </c>
      <c r="F92" t="n">
        <v>44.99209155309669</v>
      </c>
      <c r="G92" t="n">
        <v>46.38359987976452</v>
      </c>
      <c r="H92" t="n">
        <v>59.83332352812884</v>
      </c>
      <c r="I92" t="n">
        <v>59.83332352812884</v>
      </c>
      <c r="J92" t="n">
        <v>87.76785582093765</v>
      </c>
      <c r="K92" t="n">
        <v>7.007260349286475</v>
      </c>
      <c r="L92" t="n">
        <v>34</v>
      </c>
      <c r="M92" t="n">
        <v>43.97184435589514</v>
      </c>
      <c r="N92" t="n">
        <v>7.558822905667174</v>
      </c>
      <c r="O92" t="n">
        <v>0.01662941039246778</v>
      </c>
      <c r="P92" t="n">
        <v>0.09826469777367328</v>
      </c>
      <c r="Q92" t="inlineStr"/>
      <c r="R92" t="inlineStr">
        <is>
          <t>Case B — Excel B investment unchanged; PyPSA end-use denominator only</t>
        </is>
      </c>
      <c r="S92" t="n">
        <v>59.83338922220535</v>
      </c>
      <c r="T92" t="n">
        <v>89.44903742007261</v>
      </c>
      <c r="U92" t="n">
        <v>321.0269297084504</v>
      </c>
      <c r="V92" t="n">
        <v>75.58822905667174</v>
      </c>
      <c r="W92" t="n">
        <v>96.99999928794898</v>
      </c>
      <c r="X92" t="n">
        <v>19.63211128782479</v>
      </c>
    </row>
    <row r="93">
      <c r="A93" t="inlineStr">
        <is>
          <t>50%</t>
        </is>
      </c>
      <c r="B93" t="n">
        <v>2040</v>
      </c>
      <c r="C93" t="inlineStr">
        <is>
          <t>B_denominator_only</t>
        </is>
      </c>
      <c r="D93" t="n">
        <v>787.2176722369813</v>
      </c>
      <c r="E93" t="n">
        <v>618.0896449300902</v>
      </c>
      <c r="F93" t="n">
        <v>70.57066354809535</v>
      </c>
      <c r="G93" t="n">
        <v>72.75326170536935</v>
      </c>
      <c r="H93" t="n">
        <v>52.66012083235292</v>
      </c>
      <c r="I93" t="n">
        <v>43.48922891975452</v>
      </c>
      <c r="J93" t="n">
        <v>78.44107477717776</v>
      </c>
      <c r="K93" t="n">
        <v>45.78136121094114</v>
      </c>
      <c r="L93" t="n">
        <v>24</v>
      </c>
      <c r="M93" t="n">
        <v>66.43788597306501</v>
      </c>
      <c r="N93" t="n">
        <v>8.439582635927508</v>
      </c>
      <c r="O93" t="n">
        <v>0.01856708179904052</v>
      </c>
      <c r="P93" t="n">
        <v>0.1097145742670576</v>
      </c>
      <c r="Q93" t="inlineStr"/>
      <c r="R93" t="inlineStr">
        <is>
          <t>Case B — Excel B investment unchanged; PyPSA end-use denominator only</t>
        </is>
      </c>
      <c r="S93" t="n">
        <v>52.66012519666111</v>
      </c>
      <c r="T93" t="n">
        <v>82.88688836525732</v>
      </c>
      <c r="U93" t="n">
        <v>505.2099928690948</v>
      </c>
      <c r="V93" t="n">
        <v>84.39582635927511</v>
      </c>
      <c r="W93" t="n">
        <v>96.99999957924508</v>
      </c>
      <c r="X93" t="n">
        <v>0.0002487105708932783</v>
      </c>
    </row>
    <row r="94">
      <c r="A94" t="inlineStr">
        <is>
          <t>50%</t>
        </is>
      </c>
      <c r="B94" t="n">
        <v>2030</v>
      </c>
      <c r="C94" t="inlineStr">
        <is>
          <t>C_dso_capacity_all_inv</t>
        </is>
      </c>
      <c r="D94" t="n">
        <v>581.7287281982432</v>
      </c>
      <c r="E94" t="n">
        <v>390.2007215922749</v>
      </c>
      <c r="F94" t="n">
        <v>44.99209155309669</v>
      </c>
      <c r="G94" t="n">
        <v>46.38359987976452</v>
      </c>
      <c r="H94" t="n">
        <v>59.83332352812884</v>
      </c>
      <c r="I94" t="n">
        <v>59.83332352812884</v>
      </c>
      <c r="J94" t="n">
        <v>87.76785582093765</v>
      </c>
      <c r="K94" t="n">
        <v>7.007260349286475</v>
      </c>
      <c r="L94" t="n">
        <v>20.34332999956381</v>
      </c>
      <c r="M94" t="n">
        <v>40.49853736332438</v>
      </c>
      <c r="N94" t="n">
        <v>6.961756468304102</v>
      </c>
      <c r="O94" t="n">
        <v>0.01531586423026902</v>
      </c>
      <c r="P94" t="n">
        <v>0.09050283408795333</v>
      </c>
      <c r="Q94" t="inlineStr"/>
      <c r="R94" t="inlineStr">
        <is>
          <t>Case C — all Inv_base × (German DSO stock_s / stock_Build)</t>
        </is>
      </c>
      <c r="S94" t="n">
        <v>59.83338922220535</v>
      </c>
      <c r="T94" t="n">
        <v>89.44903742007261</v>
      </c>
      <c r="U94" t="n">
        <v>267.7336975575009</v>
      </c>
      <c r="V94" t="n">
        <v>69.61756468304101</v>
      </c>
      <c r="W94" t="n">
        <v>96.99999928794898</v>
      </c>
      <c r="X94" t="n">
        <v>19.63211128782479</v>
      </c>
    </row>
    <row r="95">
      <c r="A95" t="inlineStr">
        <is>
          <t>50%</t>
        </is>
      </c>
      <c r="B95" t="n">
        <v>2040</v>
      </c>
      <c r="C95" t="inlineStr">
        <is>
          <t>C_dso_capacity_all_inv</t>
        </is>
      </c>
      <c r="D95" t="n">
        <v>787.2176722369813</v>
      </c>
      <c r="E95" t="n">
        <v>618.0896449300902</v>
      </c>
      <c r="F95" t="n">
        <v>70.57066354809535</v>
      </c>
      <c r="G95" t="n">
        <v>72.75326170536935</v>
      </c>
      <c r="H95" t="n">
        <v>52.66012083235292</v>
      </c>
      <c r="I95" t="n">
        <v>43.48922891975452</v>
      </c>
      <c r="J95" t="n">
        <v>78.44107477717776</v>
      </c>
      <c r="K95" t="n">
        <v>45.78136121094114</v>
      </c>
      <c r="L95" t="n">
        <v>12.6384289997647</v>
      </c>
      <c r="M95" t="n">
        <v>52.85235992910074</v>
      </c>
      <c r="N95" t="n">
        <v>6.713817765156858</v>
      </c>
      <c r="O95" t="n">
        <v>0.01477039908334509</v>
      </c>
      <c r="P95" t="n">
        <v>0.08727963094703917</v>
      </c>
      <c r="Q95" t="inlineStr"/>
      <c r="R95" t="inlineStr">
        <is>
          <t>Case C — all Inv_base × (German DSO stock_s / stock_Build)</t>
        </is>
      </c>
      <c r="S95" t="n">
        <v>52.66012519666111</v>
      </c>
      <c r="T95" t="n">
        <v>82.88688836525732</v>
      </c>
      <c r="U95" t="n">
        <v>338.8135952495026</v>
      </c>
      <c r="V95" t="n">
        <v>67.13817765156858</v>
      </c>
      <c r="W95" t="n">
        <v>96.99999957924508</v>
      </c>
      <c r="X95" t="n">
        <v>0.0002487105708932783</v>
      </c>
    </row>
    <row r="96">
      <c r="A96" t="inlineStr">
        <is>
          <t>50%</t>
        </is>
      </c>
      <c r="B96" t="n">
        <v>2030</v>
      </c>
      <c r="C96" t="inlineStr">
        <is>
          <t>D_peak_flow_all_inv</t>
        </is>
      </c>
      <c r="D96" t="n">
        <v>581.7287281982432</v>
      </c>
      <c r="E96" t="n">
        <v>390.2007215922749</v>
      </c>
      <c r="F96" t="n">
        <v>44.99209155309669</v>
      </c>
      <c r="G96" t="n">
        <v>46.38359987976452</v>
      </c>
      <c r="H96" t="n">
        <v>59.83332352812884</v>
      </c>
      <c r="I96" t="n">
        <v>59.83332352812884</v>
      </c>
      <c r="J96" t="n">
        <v>87.76785582093765</v>
      </c>
      <c r="K96" t="n">
        <v>7.007260349286475</v>
      </c>
      <c r="L96" t="n">
        <v>20.34335233554982</v>
      </c>
      <c r="M96" t="n">
        <v>40.4985430440457</v>
      </c>
      <c r="N96" t="n">
        <v>6.961757444828216</v>
      </c>
      <c r="O96" t="n">
        <v>0.01531586637862208</v>
      </c>
      <c r="P96" t="n">
        <v>0.09050284678276682</v>
      </c>
      <c r="Q96" t="inlineStr"/>
      <c r="R96" t="inlineStr">
        <is>
          <t>Case D — all Inv_base × (German peak HV→LV_s / peak_Build)</t>
        </is>
      </c>
      <c r="S96" t="n">
        <v>59.83338922220535</v>
      </c>
      <c r="T96" t="n">
        <v>89.44903742007261</v>
      </c>
      <c r="U96" t="n">
        <v>267.7337847205418</v>
      </c>
      <c r="V96" t="n">
        <v>69.61757444828217</v>
      </c>
      <c r="W96" t="n">
        <v>96.99999928794898</v>
      </c>
      <c r="X96" t="n">
        <v>19.63211128782479</v>
      </c>
    </row>
    <row r="97">
      <c r="A97" t="inlineStr">
        <is>
          <t>50%</t>
        </is>
      </c>
      <c r="B97" t="n">
        <v>2040</v>
      </c>
      <c r="C97" t="inlineStr">
        <is>
          <t>D_peak_flow_all_inv</t>
        </is>
      </c>
      <c r="D97" t="n">
        <v>787.2176722369813</v>
      </c>
      <c r="E97" t="n">
        <v>618.0896449300902</v>
      </c>
      <c r="F97" t="n">
        <v>70.57066354809535</v>
      </c>
      <c r="G97" t="n">
        <v>72.75326170536935</v>
      </c>
      <c r="H97" t="n">
        <v>52.66012083235292</v>
      </c>
      <c r="I97" t="n">
        <v>43.48922891975452</v>
      </c>
      <c r="J97" t="n">
        <v>78.44107477717776</v>
      </c>
      <c r="K97" t="n">
        <v>45.78136121094114</v>
      </c>
      <c r="L97" t="n">
        <v>12.63843004719867</v>
      </c>
      <c r="M97" t="n">
        <v>52.85236649652133</v>
      </c>
      <c r="N97" t="n">
        <v>6.71381859941412</v>
      </c>
      <c r="O97" t="n">
        <v>0.01477040091871106</v>
      </c>
      <c r="P97" t="n">
        <v>0.08727964179238355</v>
      </c>
      <c r="Q97" t="inlineStr"/>
      <c r="R97" t="inlineStr">
        <is>
          <t>Case D — all Inv_base × (German peak HV→LV_s / peak_Build)</t>
        </is>
      </c>
      <c r="S97" t="n">
        <v>52.66012519666111</v>
      </c>
      <c r="T97" t="n">
        <v>82.88688836525732</v>
      </c>
      <c r="U97" t="n">
        <v>338.8136712427951</v>
      </c>
      <c r="V97" t="n">
        <v>67.1381859941412</v>
      </c>
      <c r="W97" t="n">
        <v>96.99999957924508</v>
      </c>
      <c r="X97" t="n">
        <v>0.0002487105708932783</v>
      </c>
    </row>
    <row r="98">
      <c r="A98" t="inlineStr">
        <is>
          <t>50%</t>
        </is>
      </c>
      <c r="B98" t="n">
        <v>2030</v>
      </c>
      <c r="C98" t="inlineStr">
        <is>
          <t>E_tso_dso_split</t>
        </is>
      </c>
      <c r="D98" t="n">
        <v>581.7287281982432</v>
      </c>
      <c r="E98" t="n">
        <v>390.2007215922749</v>
      </c>
      <c r="F98" t="n">
        <v>44.99209155309669</v>
      </c>
      <c r="G98" t="n">
        <v>46.38359987976452</v>
      </c>
      <c r="H98" t="n">
        <v>59.83332352812884</v>
      </c>
      <c r="I98" t="n">
        <v>59.83332352812884</v>
      </c>
      <c r="J98" t="n">
        <v>87.76785582093765</v>
      </c>
      <c r="K98" t="n">
        <v>7.007260349286475</v>
      </c>
      <c r="L98" t="n">
        <v>25.84203155024765</v>
      </c>
      <c r="M98" t="n">
        <v>41.89702458937874</v>
      </c>
      <c r="N98" t="n">
        <v>7.202158421700116</v>
      </c>
      <c r="O98" t="n">
        <v>0.01584474852774025</v>
      </c>
      <c r="P98" t="n">
        <v>0.0936280594821015</v>
      </c>
      <c r="Q98" t="inlineStr"/>
      <c r="R98" t="inlineStr">
        <is>
          <t>Case E — VNB share × DSO peak; ÜNB share × TSO stock GW-km (recommended)</t>
        </is>
      </c>
      <c r="S98" t="n">
        <v>59.83338922220535</v>
      </c>
      <c r="T98" t="n">
        <v>89.44903742007261</v>
      </c>
      <c r="U98" t="n">
        <v>289.1916062760992</v>
      </c>
      <c r="V98" t="n">
        <v>72.02158421700115</v>
      </c>
      <c r="W98" t="n">
        <v>96.99999928794898</v>
      </c>
      <c r="X98" t="n">
        <v>19.63211128782479</v>
      </c>
    </row>
    <row r="99">
      <c r="A99" t="inlineStr">
        <is>
          <t>50%</t>
        </is>
      </c>
      <c r="B99" t="n">
        <v>2040</v>
      </c>
      <c r="C99" t="inlineStr">
        <is>
          <t>E_tso_dso_split</t>
        </is>
      </c>
      <c r="D99" t="n">
        <v>787.2176722369813</v>
      </c>
      <c r="E99" t="n">
        <v>618.0896449300902</v>
      </c>
      <c r="F99" t="n">
        <v>70.57066354809535</v>
      </c>
      <c r="G99" t="n">
        <v>72.75326170536935</v>
      </c>
      <c r="H99" t="n">
        <v>52.66012083235292</v>
      </c>
      <c r="I99" t="n">
        <v>43.48922891975452</v>
      </c>
      <c r="J99" t="n">
        <v>78.44107477717776</v>
      </c>
      <c r="K99" t="n">
        <v>45.78136121094114</v>
      </c>
      <c r="L99" t="n">
        <v>16.22062514680729</v>
      </c>
      <c r="M99" t="n">
        <v>57.43655612449697</v>
      </c>
      <c r="N99" t="n">
        <v>7.296146688537052</v>
      </c>
      <c r="O99" t="n">
        <v>0.01605152271478151</v>
      </c>
      <c r="P99" t="n">
        <v>0.09484990695098168</v>
      </c>
      <c r="Q99" t="inlineStr"/>
      <c r="R99" t="inlineStr">
        <is>
          <t>Case E — VNB share × DSO peak; ÜNB share × TSO stock GW-km (recommended)</t>
        </is>
      </c>
      <c r="S99" t="n">
        <v>52.66012519666111</v>
      </c>
      <c r="T99" t="n">
        <v>82.88688836525732</v>
      </c>
      <c r="U99" t="n">
        <v>394.7095597440081</v>
      </c>
      <c r="V99" t="n">
        <v>72.96146688537051</v>
      </c>
      <c r="W99" t="n">
        <v>96.99999957924508</v>
      </c>
      <c r="X99" t="n">
        <v>0.0002487105708932783</v>
      </c>
    </row>
    <row r="100">
      <c r="A100" t="inlineStr">
        <is>
          <t>50%</t>
        </is>
      </c>
      <c r="B100" t="n">
        <v>2030</v>
      </c>
      <c r="C100" t="inlineStr">
        <is>
          <t>E_dso_only_tso_nep</t>
        </is>
      </c>
      <c r="D100" t="n">
        <v>581.7287281982432</v>
      </c>
      <c r="E100" t="n">
        <v>390.2007215922749</v>
      </c>
      <c r="F100" t="n">
        <v>44.99209155309669</v>
      </c>
      <c r="G100" t="n">
        <v>46.38359987976452</v>
      </c>
      <c r="H100" t="n">
        <v>59.83332352812884</v>
      </c>
      <c r="I100" t="n">
        <v>59.83332352812884</v>
      </c>
      <c r="J100" t="n">
        <v>87.76785582093765</v>
      </c>
      <c r="K100" t="n">
        <v>7.007260349286475</v>
      </c>
      <c r="L100" t="n">
        <v>28.24983256233677</v>
      </c>
      <c r="M100" t="n">
        <v>42.50940169827432</v>
      </c>
      <c r="N100" t="n">
        <v>7.307426922156033</v>
      </c>
      <c r="O100" t="n">
        <v>0.01607633922874327</v>
      </c>
      <c r="P100" t="n">
        <v>0.09499654998802844</v>
      </c>
      <c r="Q100" t="inlineStr"/>
      <c r="R100" t="inlineStr">
        <is>
          <t>Sensitivity — VNB share × DSO peak; ÜNB share left at Excel B (NEP TSO continues)</t>
        </is>
      </c>
      <c r="S100" t="n">
        <v>59.83338922220535</v>
      </c>
      <c r="T100" t="n">
        <v>89.44903742007261</v>
      </c>
      <c r="U100" t="n">
        <v>298.5877107661731</v>
      </c>
      <c r="V100" t="n">
        <v>73.07426922156034</v>
      </c>
      <c r="W100" t="n">
        <v>96.99999928794898</v>
      </c>
      <c r="X100" t="n">
        <v>19.63211128782479</v>
      </c>
    </row>
    <row r="101">
      <c r="A101" t="inlineStr">
        <is>
          <t>50%</t>
        </is>
      </c>
      <c r="B101" t="n">
        <v>2040</v>
      </c>
      <c r="C101" t="inlineStr">
        <is>
          <t>E_dso_only_tso_nep</t>
        </is>
      </c>
      <c r="D101" t="n">
        <v>787.2176722369813</v>
      </c>
      <c r="E101" t="n">
        <v>618.0896449300902</v>
      </c>
      <c r="F101" t="n">
        <v>70.57066354809535</v>
      </c>
      <c r="G101" t="n">
        <v>72.75326170536935</v>
      </c>
      <c r="H101" t="n">
        <v>52.66012083235292</v>
      </c>
      <c r="I101" t="n">
        <v>43.48922891975452</v>
      </c>
      <c r="J101" t="n">
        <v>78.44107477717776</v>
      </c>
      <c r="K101" t="n">
        <v>45.78136121094114</v>
      </c>
      <c r="L101" t="n">
        <v>19.2161810725047</v>
      </c>
      <c r="M101" t="n">
        <v>60.71766724609925</v>
      </c>
      <c r="N101" t="n">
        <v>7.71294514686924</v>
      </c>
      <c r="O101" t="n">
        <v>0.01696847932311233</v>
      </c>
      <c r="P101" t="n">
        <v>0.1002682869093001</v>
      </c>
      <c r="Q101" t="inlineStr"/>
      <c r="R101" t="inlineStr">
        <is>
          <t>Sensitivity — VNB share × DSO peak; ÜNB share left at Excel B (NEP TSO continues)</t>
        </is>
      </c>
      <c r="S101" t="n">
        <v>52.66012519666111</v>
      </c>
      <c r="T101" t="n">
        <v>82.88688836525732</v>
      </c>
      <c r="U101" t="n">
        <v>435.1483837632844</v>
      </c>
      <c r="V101" t="n">
        <v>77.12945146869241</v>
      </c>
      <c r="W101" t="n">
        <v>96.99999957924508</v>
      </c>
      <c r="X101" t="n">
        <v>0.0002487105708932783</v>
      </c>
    </row>
    <row r="102">
      <c r="A102" t="inlineStr">
        <is>
          <t>50%</t>
        </is>
      </c>
      <c r="B102" t="n">
        <v>2030</v>
      </c>
      <c r="C102" t="inlineStr">
        <is>
          <t>E_tso_new_volume</t>
        </is>
      </c>
      <c r="D102" t="n">
        <v>581.7287281982432</v>
      </c>
      <c r="E102" t="n">
        <v>390.2007215922749</v>
      </c>
      <c r="F102" t="n">
        <v>44.99209155309669</v>
      </c>
      <c r="G102" t="n">
        <v>46.38359987976452</v>
      </c>
      <c r="H102" t="n">
        <v>59.83332352812884</v>
      </c>
      <c r="I102" t="n">
        <v>59.83332352812884</v>
      </c>
      <c r="J102" t="n">
        <v>87.76785582093765</v>
      </c>
      <c r="K102" t="n">
        <v>7.007260349286475</v>
      </c>
      <c r="L102" t="n">
        <v>9.944945915301577</v>
      </c>
      <c r="M102" t="n">
        <v>37.85391168589709</v>
      </c>
      <c r="N102" t="n">
        <v>6.507141533673256</v>
      </c>
      <c r="O102" t="n">
        <v>0.01431571137408117</v>
      </c>
      <c r="P102" t="n">
        <v>0.08459283993775234</v>
      </c>
      <c r="Q102" t="inlineStr"/>
      <c r="R102" t="inlineStr">
        <is>
          <t>Sensitivity — VNB × DSO peak; ÜNB × TSO *new* GW-km (not recommended)</t>
        </is>
      </c>
      <c r="S102" t="n">
        <v>59.83338922220535</v>
      </c>
      <c r="T102" t="n">
        <v>89.44903742007261</v>
      </c>
      <c r="U102" t="n">
        <v>227.1554675073037</v>
      </c>
      <c r="V102" t="n">
        <v>65.07141533673256</v>
      </c>
      <c r="W102" t="n">
        <v>96.99999928794898</v>
      </c>
      <c r="X102" t="n">
        <v>19.63211128782479</v>
      </c>
    </row>
    <row r="103">
      <c r="A103" t="inlineStr">
        <is>
          <t>50%</t>
        </is>
      </c>
      <c r="B103" t="n">
        <v>2040</v>
      </c>
      <c r="C103" t="inlineStr">
        <is>
          <t>E_tso_new_volume</t>
        </is>
      </c>
      <c r="D103" t="n">
        <v>787.2176722369813</v>
      </c>
      <c r="E103" t="n">
        <v>618.0896449300902</v>
      </c>
      <c r="F103" t="n">
        <v>70.57066354809535</v>
      </c>
      <c r="G103" t="n">
        <v>72.75326170536935</v>
      </c>
      <c r="H103" t="n">
        <v>52.66012083235292</v>
      </c>
      <c r="I103" t="n">
        <v>43.48922891975452</v>
      </c>
      <c r="J103" t="n">
        <v>78.44107477717776</v>
      </c>
      <c r="K103" t="n">
        <v>45.78136121094114</v>
      </c>
      <c r="L103" t="n">
        <v>11.68264389339337</v>
      </c>
      <c r="M103" t="n">
        <v>49.37704201982943</v>
      </c>
      <c r="N103" t="n">
        <v>6.272349282952216</v>
      </c>
      <c r="O103" t="n">
        <v>0.01379916842249488</v>
      </c>
      <c r="P103" t="n">
        <v>0.08154054067837882</v>
      </c>
      <c r="Q103" t="inlineStr"/>
      <c r="R103" t="inlineStr">
        <is>
          <t>Sensitivity — VNB × DSO peak; ÜNB × TSO *new* GW-km (not recommended)</t>
        </is>
      </c>
      <c r="S103" t="n">
        <v>52.66012519666111</v>
      </c>
      <c r="T103" t="n">
        <v>82.88688836525732</v>
      </c>
      <c r="U103" t="n">
        <v>298.1982998843881</v>
      </c>
      <c r="V103" t="n">
        <v>62.72349282952216</v>
      </c>
      <c r="W103" t="n">
        <v>96.99999957924508</v>
      </c>
      <c r="X103" t="n">
        <v>0.0002487105708932783</v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Case E (recommended): Inv_t = Inv_B,t × [0.4211 × (peak DSO_s / peak DSO_Build) + 0.5789 × (TSO stock GW-km_s / TSO stock_Build)]. Demand = German PyPSA end-use TWh. OPEX/WACC/depreciation from Excel B. Yellow years 2023–2025 are historical (unscaled).</t>
        </is>
      </c>
    </row>
    <row r="2">
      <c r="B2" t="inlineStr">
        <is>
          <t>Inv (bn €)</t>
        </is>
      </c>
      <c r="G2" t="inlineStr">
        <is>
          <t>Closing RAB (bn €)</t>
        </is>
      </c>
      <c r="L2" t="inlineStr">
        <is>
          <t>Total cost (bn €)</t>
        </is>
      </c>
      <c r="Q2" t="inlineStr">
        <is>
          <t>Demand (TWh)</t>
        </is>
      </c>
      <c r="V2" t="inlineStr">
        <is>
          <t>Sys avg (ct/kWh)</t>
        </is>
      </c>
    </row>
    <row r="3">
      <c r="A3" s="75" t="inlineStr">
        <is>
          <t>Year</t>
        </is>
      </c>
      <c r="B3" s="75" t="inlineStr">
        <is>
          <t>Build</t>
        </is>
      </c>
      <c r="C3" s="75" t="inlineStr">
        <is>
          <t>85%</t>
        </is>
      </c>
      <c r="D3" s="75" t="inlineStr">
        <is>
          <t>75%</t>
        </is>
      </c>
      <c r="E3" s="75" t="inlineStr">
        <is>
          <t>65%</t>
        </is>
      </c>
      <c r="F3" s="75" t="inlineStr">
        <is>
          <t>50%</t>
        </is>
      </c>
      <c r="G3" s="75" t="inlineStr">
        <is>
          <t>Build</t>
        </is>
      </c>
      <c r="H3" s="75" t="inlineStr">
        <is>
          <t>85%</t>
        </is>
      </c>
      <c r="I3" s="75" t="inlineStr">
        <is>
          <t>75%</t>
        </is>
      </c>
      <c r="J3" s="75" t="inlineStr">
        <is>
          <t>65%</t>
        </is>
      </c>
      <c r="K3" s="75" t="inlineStr">
        <is>
          <t>50%</t>
        </is>
      </c>
      <c r="L3" s="75" t="inlineStr">
        <is>
          <t>Build</t>
        </is>
      </c>
      <c r="M3" s="75" t="inlineStr">
        <is>
          <t>85%</t>
        </is>
      </c>
      <c r="N3" s="75" t="inlineStr">
        <is>
          <t>75%</t>
        </is>
      </c>
      <c r="O3" s="75" t="inlineStr">
        <is>
          <t>65%</t>
        </is>
      </c>
      <c r="P3" s="75" t="inlineStr">
        <is>
          <t>50%</t>
        </is>
      </c>
      <c r="Q3" s="75" t="inlineStr">
        <is>
          <t>Build</t>
        </is>
      </c>
      <c r="R3" s="75" t="inlineStr">
        <is>
          <t>85%</t>
        </is>
      </c>
      <c r="S3" s="75" t="inlineStr">
        <is>
          <t>75%</t>
        </is>
      </c>
      <c r="T3" s="75" t="inlineStr">
        <is>
          <t>65%</t>
        </is>
      </c>
      <c r="U3" s="75" t="inlineStr">
        <is>
          <t>50%</t>
        </is>
      </c>
      <c r="V3" s="75" t="inlineStr">
        <is>
          <t>Build</t>
        </is>
      </c>
      <c r="W3" s="75" t="inlineStr">
        <is>
          <t>85%</t>
        </is>
      </c>
      <c r="X3" s="75" t="inlineStr">
        <is>
          <t>75%</t>
        </is>
      </c>
      <c r="Y3" s="75" t="inlineStr">
        <is>
          <t>65%</t>
        </is>
      </c>
      <c r="Z3" s="75" t="inlineStr">
        <is>
          <t>50%</t>
        </is>
      </c>
    </row>
    <row r="4">
      <c r="A4" s="76" t="n">
        <v>2023</v>
      </c>
      <c r="B4" t="n">
        <v>15</v>
      </c>
      <c r="C4" t="n">
        <v>15</v>
      </c>
      <c r="D4" t="n">
        <v>15</v>
      </c>
      <c r="E4" t="n">
        <v>15</v>
      </c>
      <c r="F4" t="n">
        <v>15</v>
      </c>
      <c r="G4" t="n">
        <v>195.42</v>
      </c>
      <c r="H4" t="n">
        <v>195.42</v>
      </c>
      <c r="I4" t="n">
        <v>195.42</v>
      </c>
      <c r="J4" t="n">
        <v>195.42</v>
      </c>
      <c r="K4" t="n">
        <v>195.42</v>
      </c>
      <c r="L4" t="n">
        <v>29.9544</v>
      </c>
      <c r="M4" t="n">
        <v>29.9544</v>
      </c>
      <c r="N4" t="n">
        <v>29.9544</v>
      </c>
      <c r="O4" t="n">
        <v>29.9544</v>
      </c>
      <c r="P4" t="n">
        <v>29.9544</v>
      </c>
      <c r="Q4" t="n">
        <v>510</v>
      </c>
      <c r="R4" t="n">
        <v>510</v>
      </c>
      <c r="S4" t="n">
        <v>510</v>
      </c>
      <c r="T4" t="n">
        <v>510</v>
      </c>
      <c r="U4" t="n">
        <v>510</v>
      </c>
      <c r="V4" t="n">
        <v>5.873411764705883</v>
      </c>
      <c r="W4" t="n">
        <v>5.873411764705883</v>
      </c>
      <c r="X4" t="n">
        <v>5.873411764705883</v>
      </c>
      <c r="Y4" t="n">
        <v>5.873411764705883</v>
      </c>
      <c r="Z4" t="n">
        <v>5.873411764705883</v>
      </c>
    </row>
    <row r="5">
      <c r="A5" s="76" t="n">
        <v>2024</v>
      </c>
      <c r="B5" t="n">
        <v>18</v>
      </c>
      <c r="C5" t="n">
        <v>18</v>
      </c>
      <c r="D5" t="n">
        <v>18</v>
      </c>
      <c r="E5" t="n">
        <v>18</v>
      </c>
      <c r="F5" t="n">
        <v>18</v>
      </c>
      <c r="G5" t="n">
        <v>207.5574</v>
      </c>
      <c r="H5" t="n">
        <v>207.5574</v>
      </c>
      <c r="I5" t="n">
        <v>207.5574</v>
      </c>
      <c r="J5" t="n">
        <v>207.5574</v>
      </c>
      <c r="K5" t="n">
        <v>207.5574</v>
      </c>
      <c r="L5" t="n">
        <v>31.261768</v>
      </c>
      <c r="M5" t="n">
        <v>31.261768</v>
      </c>
      <c r="N5" t="n">
        <v>31.261768</v>
      </c>
      <c r="O5" t="n">
        <v>31.261768</v>
      </c>
      <c r="P5" t="n">
        <v>31.261768</v>
      </c>
      <c r="Q5" t="n">
        <v>520</v>
      </c>
      <c r="R5" t="n">
        <v>520</v>
      </c>
      <c r="S5" t="n">
        <v>520</v>
      </c>
      <c r="T5" t="n">
        <v>520</v>
      </c>
      <c r="U5" t="n">
        <v>520</v>
      </c>
      <c r="V5" t="n">
        <v>6.011878461538462</v>
      </c>
      <c r="W5" t="n">
        <v>6.011878461538462</v>
      </c>
      <c r="X5" t="n">
        <v>6.011878461538462</v>
      </c>
      <c r="Y5" t="n">
        <v>6.011878461538462</v>
      </c>
      <c r="Z5" t="n">
        <v>6.011878461538462</v>
      </c>
    </row>
    <row r="6">
      <c r="A6" s="76" t="n">
        <v>2025</v>
      </c>
      <c r="B6" t="n">
        <v>18</v>
      </c>
      <c r="C6" t="n">
        <v>18</v>
      </c>
      <c r="D6" t="n">
        <v>18</v>
      </c>
      <c r="E6" t="n">
        <v>18</v>
      </c>
      <c r="F6" t="n">
        <v>18</v>
      </c>
      <c r="G6" t="n">
        <v>219.330678</v>
      </c>
      <c r="H6" t="n">
        <v>219.330678</v>
      </c>
      <c r="I6" t="n">
        <v>219.330678</v>
      </c>
      <c r="J6" t="n">
        <v>219.330678</v>
      </c>
      <c r="K6" t="n">
        <v>219.330678</v>
      </c>
      <c r="L6" t="n">
        <v>32.77761496</v>
      </c>
      <c r="M6" t="n">
        <v>32.77761496</v>
      </c>
      <c r="N6" t="n">
        <v>32.77761496</v>
      </c>
      <c r="O6" t="n">
        <v>32.77761496</v>
      </c>
      <c r="P6" t="n">
        <v>32.77761496</v>
      </c>
      <c r="Q6" t="n">
        <v>530</v>
      </c>
      <c r="R6" t="n">
        <v>530</v>
      </c>
      <c r="S6" t="n">
        <v>530</v>
      </c>
      <c r="T6" t="n">
        <v>530</v>
      </c>
      <c r="U6" t="n">
        <v>530</v>
      </c>
      <c r="V6" t="n">
        <v>6.184455652830189</v>
      </c>
      <c r="W6" t="n">
        <v>6.184455652830189</v>
      </c>
      <c r="X6" t="n">
        <v>6.184455652830189</v>
      </c>
      <c r="Y6" t="n">
        <v>6.184455652830189</v>
      </c>
      <c r="Z6" t="n">
        <v>6.184455652830189</v>
      </c>
    </row>
    <row r="7">
      <c r="A7" t="n">
        <v>2026</v>
      </c>
      <c r="B7" t="n">
        <v>23</v>
      </c>
      <c r="C7" t="n">
        <v>21.87235780674035</v>
      </c>
      <c r="D7" t="n">
        <v>21.54034618179776</v>
      </c>
      <c r="E7" t="n">
        <v>19.8303769022942</v>
      </c>
      <c r="F7" t="n">
        <v>17.48137428399106</v>
      </c>
      <c r="G7" t="n">
        <v>235.75075766</v>
      </c>
      <c r="H7" t="n">
        <v>234.6231154667404</v>
      </c>
      <c r="I7" t="n">
        <v>234.2911038417978</v>
      </c>
      <c r="J7" t="n">
        <v>232.5811345622942</v>
      </c>
      <c r="K7" t="n">
        <v>230.2321319439911</v>
      </c>
      <c r="L7" t="n">
        <v>34.2741865112</v>
      </c>
      <c r="M7" t="n">
        <v>34.2741865112</v>
      </c>
      <c r="N7" t="n">
        <v>34.2741865112</v>
      </c>
      <c r="O7" t="n">
        <v>34.2741865112</v>
      </c>
      <c r="P7" t="n">
        <v>34.2741865112</v>
      </c>
      <c r="Q7" t="n">
        <v>554.0693098498792</v>
      </c>
      <c r="R7" t="n">
        <v>552.4404320249464</v>
      </c>
      <c r="S7" t="n">
        <v>554.9241626986919</v>
      </c>
      <c r="T7" t="n">
        <v>549.2609875030111</v>
      </c>
      <c r="U7" t="n">
        <v>540.3457456396486</v>
      </c>
      <c r="V7" t="n">
        <v>6.185902359487539</v>
      </c>
      <c r="W7" t="n">
        <v>6.204141573340217</v>
      </c>
      <c r="X7" t="n">
        <v>6.176373064117215</v>
      </c>
      <c r="Y7" t="n">
        <v>6.240054781063821</v>
      </c>
      <c r="Z7" t="n">
        <v>6.343010338802062</v>
      </c>
    </row>
    <row r="8">
      <c r="A8" t="n">
        <v>2027</v>
      </c>
      <c r="B8" t="n">
        <v>23</v>
      </c>
      <c r="C8" t="n">
        <v>21.87235780674035</v>
      </c>
      <c r="D8" t="n">
        <v>21.54034618179776</v>
      </c>
      <c r="E8" t="n">
        <v>19.8303769022942</v>
      </c>
      <c r="F8" t="n">
        <v>17.48137428399106</v>
      </c>
      <c r="G8" t="n">
        <v>251.6782349302</v>
      </c>
      <c r="H8" t="n">
        <v>249.4567798094785</v>
      </c>
      <c r="I8" t="n">
        <v>248.8027169083416</v>
      </c>
      <c r="J8" t="n">
        <v>245.4340774277196</v>
      </c>
      <c r="K8" t="n">
        <v>240.8065422696624</v>
      </c>
      <c r="L8" t="n">
        <v>36.134360915864</v>
      </c>
      <c r="M8" t="n">
        <v>36.04369848352592</v>
      </c>
      <c r="N8" t="n">
        <v>36.01700474888054</v>
      </c>
      <c r="O8" t="n">
        <v>35.87952321880846</v>
      </c>
      <c r="P8" t="n">
        <v>35.69066340829688</v>
      </c>
      <c r="Q8" t="n">
        <v>578.1386196997584</v>
      </c>
      <c r="R8" t="n">
        <v>574.8808640498928</v>
      </c>
      <c r="S8" t="n">
        <v>579.8483253973839</v>
      </c>
      <c r="T8" t="n">
        <v>568.521975006022</v>
      </c>
      <c r="U8" t="n">
        <v>550.6914912792972</v>
      </c>
      <c r="V8" t="n">
        <v>6.25012059125707</v>
      </c>
      <c r="W8" t="n">
        <v>6.26976835332577</v>
      </c>
      <c r="X8" t="n">
        <v>6.211452749164573</v>
      </c>
      <c r="Y8" t="n">
        <v>6.31101783153209</v>
      </c>
      <c r="Z8" t="n">
        <v>6.481063167579515</v>
      </c>
    </row>
    <row r="9">
      <c r="A9" t="n">
        <v>2028</v>
      </c>
      <c r="B9" t="n">
        <v>30</v>
      </c>
      <c r="C9" t="n">
        <v>28.52916235661785</v>
      </c>
      <c r="D9" t="n">
        <v>28.09610371538839</v>
      </c>
      <c r="E9" t="n">
        <v>25.86570900299243</v>
      </c>
      <c r="F9" t="n">
        <v>22.80179254433617</v>
      </c>
      <c r="G9" t="n">
        <v>274.127887882294</v>
      </c>
      <c r="H9" t="n">
        <v>270.502238771812</v>
      </c>
      <c r="I9" t="n">
        <v>269.4347391164798</v>
      </c>
      <c r="J9" t="n">
        <v>263.9367641078804</v>
      </c>
      <c r="K9" t="n">
        <v>256.3841385459087</v>
      </c>
      <c r="L9" t="n">
        <v>37.96493008838807</v>
      </c>
      <c r="M9" t="n">
        <v>37.78632509668207</v>
      </c>
      <c r="N9" t="n">
        <v>37.73373843943067</v>
      </c>
      <c r="O9" t="n">
        <v>37.46289982518866</v>
      </c>
      <c r="P9" t="n">
        <v>37.09084599848086</v>
      </c>
      <c r="Q9" t="n">
        <v>602.2079295496376</v>
      </c>
      <c r="R9" t="n">
        <v>597.3212960748392</v>
      </c>
      <c r="S9" t="n">
        <v>604.7724880960757</v>
      </c>
      <c r="T9" t="n">
        <v>587.782962509033</v>
      </c>
      <c r="U9" t="n">
        <v>561.037236918946</v>
      </c>
      <c r="V9" t="n">
        <v>6.304289303659655</v>
      </c>
      <c r="W9" t="n">
        <v>6.325963153329087</v>
      </c>
      <c r="X9" t="n">
        <v>6.239327876541267</v>
      </c>
      <c r="Y9" t="n">
        <v>6.373594032952754</v>
      </c>
      <c r="Z9" t="n">
        <v>6.611120181999513</v>
      </c>
    </row>
    <row r="10">
      <c r="A10" t="n">
        <v>2029</v>
      </c>
      <c r="B10" t="n">
        <v>30</v>
      </c>
      <c r="C10" t="n">
        <v>28.52916235661785</v>
      </c>
      <c r="D10" t="n">
        <v>28.09610371538839</v>
      </c>
      <c r="E10" t="n">
        <v>25.86570900299243</v>
      </c>
      <c r="F10" t="n">
        <v>22.80179254433617</v>
      </c>
      <c r="G10" t="n">
        <v>295.9040512458252</v>
      </c>
      <c r="H10" t="n">
        <v>290.9163339652754</v>
      </c>
      <c r="I10" t="n">
        <v>289.4478006583738</v>
      </c>
      <c r="J10" t="n">
        <v>281.8843701876365</v>
      </c>
      <c r="K10" t="n">
        <v>271.4944069338675</v>
      </c>
      <c r="L10" t="n">
        <v>41.57087046999499</v>
      </c>
      <c r="M10" t="n">
        <v>41.26269029560402</v>
      </c>
      <c r="N10" t="n">
        <v>41.17195282490079</v>
      </c>
      <c r="O10" t="n">
        <v>40.70462494916984</v>
      </c>
      <c r="P10" t="n">
        <v>40.06265177640223</v>
      </c>
      <c r="Q10" t="n">
        <v>626.2772393995167</v>
      </c>
      <c r="R10" t="n">
        <v>619.7617280997856</v>
      </c>
      <c r="S10" t="n">
        <v>629.6966507947676</v>
      </c>
      <c r="T10" t="n">
        <v>607.043950012044</v>
      </c>
      <c r="U10" t="n">
        <v>571.3829825585946</v>
      </c>
      <c r="V10" t="n">
        <v>6.63777443195185</v>
      </c>
      <c r="W10" t="n">
        <v>6.657831296249461</v>
      </c>
      <c r="X10" t="n">
        <v>6.538378880201422</v>
      </c>
      <c r="Y10" t="n">
        <v>6.705383514383471</v>
      </c>
      <c r="Z10" t="n">
        <v>7.011523443873981</v>
      </c>
    </row>
    <row r="11">
      <c r="A11" s="77" t="n">
        <v>2030</v>
      </c>
      <c r="B11" t="n">
        <v>34</v>
      </c>
      <c r="C11" t="n">
        <v>32.33305067083356</v>
      </c>
      <c r="D11" t="n">
        <v>31.84225087744017</v>
      </c>
      <c r="E11" t="n">
        <v>29.31447020339142</v>
      </c>
      <c r="F11" t="n">
        <v>25.84203155024765</v>
      </c>
      <c r="G11" t="n">
        <v>321.0269297084504</v>
      </c>
      <c r="H11" t="n">
        <v>314.5218946171508</v>
      </c>
      <c r="I11" t="n">
        <v>312.6066175160627</v>
      </c>
      <c r="J11" t="n">
        <v>302.7423092853988</v>
      </c>
      <c r="K11" t="n">
        <v>289.1916062760992</v>
      </c>
      <c r="L11" t="n">
        <v>43.97184435589514</v>
      </c>
      <c r="M11" t="n">
        <v>43.54788838704841</v>
      </c>
      <c r="N11" t="n">
        <v>43.42306305596177</v>
      </c>
      <c r="O11" t="n">
        <v>42.7801714659491</v>
      </c>
      <c r="P11" t="n">
        <v>41.89702458937874</v>
      </c>
      <c r="Q11" t="n">
        <v>650.3465492493959</v>
      </c>
      <c r="R11" t="n">
        <v>642.202160124732</v>
      </c>
      <c r="S11" t="n">
        <v>654.6208134934595</v>
      </c>
      <c r="T11" t="n">
        <v>626.304937515055</v>
      </c>
      <c r="U11" t="n">
        <v>581.7287281982432</v>
      </c>
      <c r="V11" t="n">
        <v>6.761294329407251</v>
      </c>
      <c r="W11" t="n">
        <v>6.781024900101597</v>
      </c>
      <c r="X11" t="n">
        <v>6.633315372945382</v>
      </c>
      <c r="Y11" t="n">
        <v>6.83056589585337</v>
      </c>
      <c r="Z11" t="n">
        <v>7.202158421700116</v>
      </c>
    </row>
    <row r="12">
      <c r="A12" t="n">
        <v>2031</v>
      </c>
      <c r="B12" t="n">
        <v>34</v>
      </c>
      <c r="C12" t="n">
        <v>31.54488895294875</v>
      </c>
      <c r="D12" t="n">
        <v>29.71290974094013</v>
      </c>
      <c r="E12" t="n">
        <v>27.09611227025844</v>
      </c>
      <c r="F12" t="n">
        <v>22.979218957977</v>
      </c>
      <c r="G12" t="n">
        <v>345.3961218171969</v>
      </c>
      <c r="H12" t="n">
        <v>336.631126731585</v>
      </c>
      <c r="I12" t="n">
        <v>332.941328731521</v>
      </c>
      <c r="J12" t="n">
        <v>320.7561522770953</v>
      </c>
      <c r="K12" t="n">
        <v>303.4950770457932</v>
      </c>
      <c r="L12" t="n">
        <v>46.64728902521829</v>
      </c>
      <c r="M12" t="n">
        <v>46.09436104245782</v>
      </c>
      <c r="N12" t="n">
        <v>45.93156248886533</v>
      </c>
      <c r="O12" t="n">
        <v>45.0930962892589</v>
      </c>
      <c r="P12" t="n">
        <v>43.94128653346843</v>
      </c>
      <c r="Q12" t="n">
        <v>680.2868279675137</v>
      </c>
      <c r="R12" t="n">
        <v>669.6549017680002</v>
      </c>
      <c r="S12" t="n">
        <v>678.1759560218883</v>
      </c>
      <c r="T12" t="n">
        <v>647.2368502270875</v>
      </c>
      <c r="U12" t="n">
        <v>602.2776226021169</v>
      </c>
      <c r="V12" t="n">
        <v>6.857003120960895</v>
      </c>
      <c r="W12" t="n">
        <v>6.883300774885848</v>
      </c>
      <c r="X12" t="n">
        <v>6.772809044764022</v>
      </c>
      <c r="Y12" t="n">
        <v>6.967016212602491</v>
      </c>
      <c r="Z12" t="n">
        <v>7.295852424936829</v>
      </c>
    </row>
    <row r="13">
      <c r="A13" t="n">
        <v>2032</v>
      </c>
      <c r="B13" t="n">
        <v>34</v>
      </c>
      <c r="C13" t="n">
        <v>31.54488895294875</v>
      </c>
      <c r="D13" t="n">
        <v>29.71290974094013</v>
      </c>
      <c r="E13" t="n">
        <v>27.09611227025844</v>
      </c>
      <c r="F13" t="n">
        <v>22.979218957977</v>
      </c>
      <c r="G13" t="n">
        <v>369.034238162681</v>
      </c>
      <c r="H13" t="n">
        <v>358.0770818825861</v>
      </c>
      <c r="I13" t="n">
        <v>352.6659986105155</v>
      </c>
      <c r="J13" t="n">
        <v>338.2295799790409</v>
      </c>
      <c r="K13" t="n">
        <v>317.3694436923964</v>
      </c>
      <c r="L13" t="n">
        <v>49.26867035446173</v>
      </c>
      <c r="M13" t="n">
        <v>48.52364577218472</v>
      </c>
      <c r="N13" t="n">
        <v>48.21001294217928</v>
      </c>
      <c r="O13" t="n">
        <v>47.17427294355309</v>
      </c>
      <c r="P13" t="n">
        <v>45.70708154889242</v>
      </c>
      <c r="Q13" t="n">
        <v>710.2271066856314</v>
      </c>
      <c r="R13" t="n">
        <v>697.1076434112684</v>
      </c>
      <c r="S13" t="n">
        <v>701.731098550317</v>
      </c>
      <c r="T13" t="n">
        <v>668.16876293912</v>
      </c>
      <c r="U13" t="n">
        <v>622.8265170059908</v>
      </c>
      <c r="V13" t="n">
        <v>6.937030407693181</v>
      </c>
      <c r="W13" t="n">
        <v>6.960710620634741</v>
      </c>
      <c r="X13" t="n">
        <v>6.870154827365459</v>
      </c>
      <c r="Y13" t="n">
        <v>7.060233216537147</v>
      </c>
      <c r="Z13" t="n">
        <v>7.338653750423535</v>
      </c>
    </row>
    <row r="14">
      <c r="A14" t="n">
        <v>2033</v>
      </c>
      <c r="B14" t="n">
        <v>34</v>
      </c>
      <c r="C14" t="n">
        <v>31.54488895294875</v>
      </c>
      <c r="D14" t="n">
        <v>29.71290974094013</v>
      </c>
      <c r="E14" t="n">
        <v>27.09611227025844</v>
      </c>
      <c r="F14" t="n">
        <v>22.979218957977</v>
      </c>
      <c r="G14" t="n">
        <v>391.9632110178006</v>
      </c>
      <c r="H14" t="n">
        <v>378.8796583790573</v>
      </c>
      <c r="I14" t="n">
        <v>371.7989283931402</v>
      </c>
      <c r="J14" t="n">
        <v>355.1788048499281</v>
      </c>
      <c r="K14" t="n">
        <v>330.8275793396016</v>
      </c>
      <c r="L14" t="n">
        <v>51.81791024382788</v>
      </c>
      <c r="M14" t="n">
        <v>50.88655196001982</v>
      </c>
      <c r="N14" t="n">
        <v>50.42660988189381</v>
      </c>
      <c r="O14" t="n">
        <v>49.19951429821847</v>
      </c>
      <c r="P14" t="n">
        <v>47.4264027138537</v>
      </c>
      <c r="Q14" t="n">
        <v>740.1673854037491</v>
      </c>
      <c r="R14" t="n">
        <v>724.5603850545366</v>
      </c>
      <c r="S14" t="n">
        <v>725.2862410787459</v>
      </c>
      <c r="T14" t="n">
        <v>689.1006756511525</v>
      </c>
      <c r="U14" t="n">
        <v>643.3754114098647</v>
      </c>
      <c r="V14" t="n">
        <v>7.000836738511799</v>
      </c>
      <c r="W14" t="n">
        <v>7.023093314187976</v>
      </c>
      <c r="X14" t="n">
        <v>6.952649454219949</v>
      </c>
      <c r="Y14" t="n">
        <v>7.139670012908975</v>
      </c>
      <c r="Z14" t="n">
        <v>7.37149755380386</v>
      </c>
    </row>
    <row r="15">
      <c r="A15" t="n">
        <v>2034</v>
      </c>
      <c r="B15" t="n">
        <v>34</v>
      </c>
      <c r="C15" t="n">
        <v>31.54488895294875</v>
      </c>
      <c r="D15" t="n">
        <v>29.71290974094013</v>
      </c>
      <c r="E15" t="n">
        <v>27.09611227025844</v>
      </c>
      <c r="F15" t="n">
        <v>22.979218957977</v>
      </c>
      <c r="G15" t="n">
        <v>414.2043146872666</v>
      </c>
      <c r="H15" t="n">
        <v>399.0581575806343</v>
      </c>
      <c r="I15" t="n">
        <v>390.3578702822861</v>
      </c>
      <c r="J15" t="n">
        <v>371.6195529746887</v>
      </c>
      <c r="K15" t="n">
        <v>343.8819709173906</v>
      </c>
      <c r="L15" t="n">
        <v>54.31687293651305</v>
      </c>
      <c r="M15" t="n">
        <v>53.20477096221987</v>
      </c>
      <c r="N15" t="n">
        <v>52.60290891341691</v>
      </c>
      <c r="O15" t="n">
        <v>51.19019841224389</v>
      </c>
      <c r="P15" t="n">
        <v>49.12034424386614</v>
      </c>
      <c r="Q15" t="n">
        <v>770.1076641218668</v>
      </c>
      <c r="R15" t="n">
        <v>752.0131266978048</v>
      </c>
      <c r="S15" t="n">
        <v>748.8413836071746</v>
      </c>
      <c r="T15" t="n">
        <v>710.032588363185</v>
      </c>
      <c r="U15" t="n">
        <v>663.9243058137384</v>
      </c>
      <c r="V15" t="n">
        <v>7.05315314559934</v>
      </c>
      <c r="W15" t="n">
        <v>7.074979022753165</v>
      </c>
      <c r="X15" t="n">
        <v>7.024572902211721</v>
      </c>
      <c r="Y15" t="n">
        <v>7.209556188153417</v>
      </c>
      <c r="Z15" t="n">
        <v>7.398485612552144</v>
      </c>
    </row>
    <row r="16">
      <c r="A16" t="n">
        <v>2035</v>
      </c>
      <c r="B16" t="n">
        <v>34</v>
      </c>
      <c r="C16" t="n">
        <v>31.54488895294875</v>
      </c>
      <c r="D16" t="n">
        <v>29.71290974094013</v>
      </c>
      <c r="E16" t="n">
        <v>27.09611227025844</v>
      </c>
      <c r="F16" t="n">
        <v>22.979218957977</v>
      </c>
      <c r="G16" t="n">
        <v>435.7781852466485</v>
      </c>
      <c r="H16" t="n">
        <v>418.6313018061639</v>
      </c>
      <c r="I16" t="n">
        <v>408.3600439147576</v>
      </c>
      <c r="J16" t="n">
        <v>387.5670786557065</v>
      </c>
      <c r="K16" t="n">
        <v>356.5447307478458</v>
      </c>
      <c r="L16" t="n">
        <v>56.75736674841765</v>
      </c>
      <c r="M16" t="n">
        <v>55.46994339435392</v>
      </c>
      <c r="N16" t="n">
        <v>54.73041897399432</v>
      </c>
      <c r="O16" t="n">
        <v>53.13766200284854</v>
      </c>
      <c r="P16" t="n">
        <v>50.7799675279782</v>
      </c>
      <c r="Q16" t="n">
        <v>800.0479428399846</v>
      </c>
      <c r="R16" t="n">
        <v>779.465868341073</v>
      </c>
      <c r="S16" t="n">
        <v>772.3965261356034</v>
      </c>
      <c r="T16" t="n">
        <v>730.9645010752175</v>
      </c>
      <c r="U16" t="n">
        <v>684.4732002176123</v>
      </c>
      <c r="V16" t="n">
        <v>7.094245695694457</v>
      </c>
      <c r="W16" t="n">
        <v>7.11640440554631</v>
      </c>
      <c r="X16" t="n">
        <v>7.085792999072312</v>
      </c>
      <c r="Y16" t="n">
        <v>7.269527032391493</v>
      </c>
      <c r="Z16" t="n">
        <v>7.418839409904418</v>
      </c>
    </row>
    <row r="17">
      <c r="A17" t="n">
        <v>2036</v>
      </c>
      <c r="B17" t="n">
        <v>34</v>
      </c>
      <c r="C17" t="n">
        <v>31.54488895294875</v>
      </c>
      <c r="D17" t="n">
        <v>29.71290974094013</v>
      </c>
      <c r="E17" t="n">
        <v>27.09611227025844</v>
      </c>
      <c r="F17" t="n">
        <v>22.979218957977</v>
      </c>
      <c r="G17" t="n">
        <v>456.7048396892491</v>
      </c>
      <c r="H17" t="n">
        <v>437.6172517049278</v>
      </c>
      <c r="I17" t="n">
        <v>425.822152338255</v>
      </c>
      <c r="J17" t="n">
        <v>403.0361785662938</v>
      </c>
      <c r="K17" t="n">
        <v>368.8276077833875</v>
      </c>
      <c r="L17" t="n">
        <v>59.13114574596513</v>
      </c>
      <c r="M17" t="n">
        <v>57.67366065352394</v>
      </c>
      <c r="N17" t="n">
        <v>56.8006037327544</v>
      </c>
      <c r="O17" t="n">
        <v>55.03320168573505</v>
      </c>
      <c r="P17" t="n">
        <v>52.39630211356689</v>
      </c>
      <c r="Q17" t="n">
        <v>829.9882215581023</v>
      </c>
      <c r="R17" t="n">
        <v>806.9186099843412</v>
      </c>
      <c r="S17" t="n">
        <v>795.9516686640321</v>
      </c>
      <c r="T17" t="n">
        <v>751.89641378725</v>
      </c>
      <c r="U17" t="n">
        <v>705.0220946214861</v>
      </c>
      <c r="V17" t="n">
        <v>7.124335527913962</v>
      </c>
      <c r="W17" t="n">
        <v>7.147395033390436</v>
      </c>
      <c r="X17" t="n">
        <v>7.13618753109615</v>
      </c>
      <c r="Y17" t="n">
        <v>7.319253114739121</v>
      </c>
      <c r="Z17" t="n">
        <v>7.431866676702882</v>
      </c>
    </row>
    <row r="18">
      <c r="A18" t="n">
        <v>2037</v>
      </c>
      <c r="B18" t="n">
        <v>34</v>
      </c>
      <c r="C18" t="n">
        <v>31.54488895294875</v>
      </c>
      <c r="D18" t="n">
        <v>29.71290974094013</v>
      </c>
      <c r="E18" t="n">
        <v>27.09611227025844</v>
      </c>
      <c r="F18" t="n">
        <v>22.979218957977</v>
      </c>
      <c r="G18" t="n">
        <v>477.0036944985716</v>
      </c>
      <c r="H18" t="n">
        <v>456.0336231067287</v>
      </c>
      <c r="I18" t="n">
        <v>442.7603975090475</v>
      </c>
      <c r="J18" t="n">
        <v>418.0412054795634</v>
      </c>
      <c r="K18" t="n">
        <v>380.7419985078629</v>
      </c>
      <c r="L18" t="n">
        <v>61.45991137358617</v>
      </c>
      <c r="M18" t="n">
        <v>59.83746639491886</v>
      </c>
      <c r="N18" t="n">
        <v>58.83488294875168</v>
      </c>
      <c r="O18" t="n">
        <v>56.89807517813497</v>
      </c>
      <c r="P18" t="n">
        <v>53.99034666158794</v>
      </c>
      <c r="Q18" t="n">
        <v>859.92850027622</v>
      </c>
      <c r="R18" t="n">
        <v>834.3713516276093</v>
      </c>
      <c r="S18" t="n">
        <v>819.5068111924609</v>
      </c>
      <c r="T18" t="n">
        <v>772.8283264992825</v>
      </c>
      <c r="U18" t="n">
        <v>725.5709890253599</v>
      </c>
      <c r="V18" t="n">
        <v>7.147095526412309</v>
      </c>
      <c r="W18" t="n">
        <v>7.171562911189823</v>
      </c>
      <c r="X18" t="n">
        <v>7.179303715992462</v>
      </c>
      <c r="Y18" t="n">
        <v>7.362317506640693</v>
      </c>
      <c r="Z18" t="n">
        <v>7.441083984643835</v>
      </c>
    </row>
    <row r="19">
      <c r="A19" t="n">
        <v>2038</v>
      </c>
      <c r="B19" t="n">
        <v>24</v>
      </c>
      <c r="C19" t="n">
        <v>22.26698043737559</v>
      </c>
      <c r="D19" t="n">
        <v>20.97381864066362</v>
      </c>
      <c r="E19" t="n">
        <v>19.12666748488831</v>
      </c>
      <c r="F19" t="n">
        <v>16.22062514680729</v>
      </c>
      <c r="G19" t="n">
        <v>486.6935836636144</v>
      </c>
      <c r="H19" t="n">
        <v>464.6195948509024</v>
      </c>
      <c r="I19" t="n">
        <v>450.4514042244397</v>
      </c>
      <c r="J19" t="n">
        <v>424.6266368000648</v>
      </c>
      <c r="K19" t="n">
        <v>385.5403636994344</v>
      </c>
      <c r="L19" t="n">
        <v>63.72531403237858</v>
      </c>
      <c r="M19" t="n">
        <v>61.94285796407193</v>
      </c>
      <c r="N19" t="n">
        <v>60.81463378826904</v>
      </c>
      <c r="O19" t="n">
        <v>58.71350246576289</v>
      </c>
      <c r="P19" t="n">
        <v>55.54306987316835</v>
      </c>
      <c r="Q19" t="n">
        <v>889.8687789943377</v>
      </c>
      <c r="R19" t="n">
        <v>861.8240932708775</v>
      </c>
      <c r="S19" t="n">
        <v>843.0619537208897</v>
      </c>
      <c r="T19" t="n">
        <v>793.760239211315</v>
      </c>
      <c r="U19" t="n">
        <v>746.1198834292337</v>
      </c>
      <c r="V19" t="n">
        <v>7.161203487147409</v>
      </c>
      <c r="W19" t="n">
        <v>7.187413121508412</v>
      </c>
      <c r="X19" t="n">
        <v>7.21354267261867</v>
      </c>
      <c r="Y19" t="n">
        <v>7.396881270357027</v>
      </c>
      <c r="Z19" t="n">
        <v>7.444255421513153</v>
      </c>
    </row>
    <row r="20">
      <c r="A20" t="n">
        <v>2039</v>
      </c>
      <c r="B20" t="n">
        <v>24</v>
      </c>
      <c r="C20" t="n">
        <v>22.26698043737559</v>
      </c>
      <c r="D20" t="n">
        <v>20.97381864066362</v>
      </c>
      <c r="E20" t="n">
        <v>19.12666748488831</v>
      </c>
      <c r="F20" t="n">
        <v>16.22062514680729</v>
      </c>
      <c r="G20" t="n">
        <v>496.092776153706</v>
      </c>
      <c r="H20" t="n">
        <v>472.9479874427509</v>
      </c>
      <c r="I20" t="n">
        <v>457.9116807383702</v>
      </c>
      <c r="J20" t="n">
        <v>431.0145051809512</v>
      </c>
      <c r="K20" t="n">
        <v>390.1947779352586</v>
      </c>
      <c r="L20" t="n">
        <v>65.09895461140722</v>
      </c>
      <c r="M20" t="n">
        <v>63.22266556232671</v>
      </c>
      <c r="N20" t="n">
        <v>62.01836935907738</v>
      </c>
      <c r="O20" t="n">
        <v>59.82326412800552</v>
      </c>
      <c r="P20" t="n">
        <v>56.50093091445191</v>
      </c>
      <c r="Q20" t="n">
        <v>919.8090577124555</v>
      </c>
      <c r="R20" t="n">
        <v>889.2768349141458</v>
      </c>
      <c r="S20" t="n">
        <v>866.6170962493185</v>
      </c>
      <c r="T20" t="n">
        <v>814.6921519233475</v>
      </c>
      <c r="U20" t="n">
        <v>766.6687778331075</v>
      </c>
      <c r="V20" t="n">
        <v>7.077442221900583</v>
      </c>
      <c r="W20" t="n">
        <v>7.109447033828388</v>
      </c>
      <c r="X20" t="n">
        <v>7.15637501585074</v>
      </c>
      <c r="Y20" t="n">
        <v>7.343051481074554</v>
      </c>
      <c r="Z20" t="n">
        <v>7.369666347199459</v>
      </c>
    </row>
    <row r="21">
      <c r="A21" s="77" t="n">
        <v>2040</v>
      </c>
      <c r="B21" t="n">
        <v>24</v>
      </c>
      <c r="C21" t="n">
        <v>22.26698043737559</v>
      </c>
      <c r="D21" t="n">
        <v>20.97381864066362</v>
      </c>
      <c r="E21" t="n">
        <v>19.12666748488831</v>
      </c>
      <c r="F21" t="n">
        <v>16.22062514680729</v>
      </c>
      <c r="G21" t="n">
        <v>505.2099928690948</v>
      </c>
      <c r="H21" t="n">
        <v>481.026528256844</v>
      </c>
      <c r="I21" t="n">
        <v>465.1481489568827</v>
      </c>
      <c r="J21" t="n">
        <v>437.2107375104109</v>
      </c>
      <c r="K21" t="n">
        <v>394.7095597440081</v>
      </c>
      <c r="L21" t="n">
        <v>66.43788597306501</v>
      </c>
      <c r="M21" t="n">
        <v>64.47057893263383</v>
      </c>
      <c r="N21" t="n">
        <v>63.19249286276147</v>
      </c>
      <c r="O21" t="n">
        <v>60.90623294038085</v>
      </c>
      <c r="P21" t="n">
        <v>57.43655612449697</v>
      </c>
      <c r="Q21" t="n">
        <v>949.7493364305732</v>
      </c>
      <c r="R21" t="n">
        <v>916.7295765574139</v>
      </c>
      <c r="S21" t="n">
        <v>890.1722387777472</v>
      </c>
      <c r="T21" t="n">
        <v>835.62406463538</v>
      </c>
      <c r="U21" t="n">
        <v>787.2176722369813</v>
      </c>
      <c r="V21" t="n">
        <v>6.995307437934875</v>
      </c>
      <c r="W21" t="n">
        <v>7.032671420370181</v>
      </c>
      <c r="X21" t="n">
        <v>7.098906268918029</v>
      </c>
      <c r="Y21" t="n">
        <v>7.288712175487305</v>
      </c>
      <c r="Z21" t="n">
        <v>7.296146688537052</v>
      </c>
    </row>
    <row r="24">
      <c r="A24" t="inlineStr">
        <is>
          <t>Green = PyPSA snapshot years (2030, 2040). Yellow = historical benchmark.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90"/>
  <sheetViews>
    <sheetView workbookViewId="0">
      <selection activeCell="A1" sqref="A1"/>
    </sheetView>
  </sheetViews>
  <sheetFormatPr baseColWidth="8" defaultRowHeight="15"/>
  <cols>
    <col width="120" customWidth="1" style="59" min="1" max="1"/>
  </cols>
  <sheetData>
    <row r="1">
      <c r="A1" t="inlineStr">
        <is>
          <t># German network tariffs: Excel finance + PyPSA physics</t>
        </is>
      </c>
    </row>
    <row r="2">
      <c r="A2" t="inlineStr"/>
    </row>
    <row r="3">
      <c r="A3" t="inlineStr">
        <is>
          <t>## Rule</t>
        </is>
      </c>
    </row>
    <row r="4">
      <c r="A4" t="inlineStr"/>
    </row>
    <row r="5">
      <c r="A5" t="inlineStr">
        <is>
          <t>The original workbook (`german_network_tariff_model_v3.xlsx`) is not modified.</t>
        </is>
      </c>
    </row>
    <row r="6">
      <c r="A6" t="inlineStr">
        <is>
          <t>This copy keeps every original sheet. PyPSA absolute grid CAPEX is never used</t>
        </is>
      </c>
    </row>
    <row r="7">
      <c r="A7" t="inlineStr">
        <is>
          <t>as German investment.</t>
        </is>
      </c>
    </row>
    <row r="8">
      <c r="A8" t="inlineStr"/>
    </row>
    <row r="9">
      <c r="A9" t="inlineStr">
        <is>
          <t>Excel supplies the realistic financial/regulatory baseline:</t>
        </is>
      </c>
    </row>
    <row r="10">
      <c r="A10" t="inlineStr">
        <is>
          <t>opening RAB 186 bn € (2023), WACC 5.04% then 5.50%, depreciation 3%/yr of</t>
        </is>
      </c>
    </row>
    <row r="11">
      <c r="A11" t="inlineStr">
        <is>
          <t>opening RAB, OPEX 15→27 bn € (scenario-independent), Inv_base from IMK</t>
        </is>
      </c>
    </row>
    <row r="12">
      <c r="A12" t="inlineStr">
        <is>
          <t>(Scenario B).</t>
        </is>
      </c>
    </row>
    <row r="13">
      <c r="A13" t="inlineStr"/>
    </row>
    <row r="14">
      <c r="A14" t="inlineStr">
        <is>
          <t>PyPSA supplies endogenous *German* physical ratios only.</t>
        </is>
      </c>
    </row>
    <row r="15">
      <c r="A15" t="inlineStr"/>
    </row>
    <row r="16">
      <c r="A16" t="inlineStr">
        <is>
          <t>## Excel identities (inspected)</t>
        </is>
      </c>
    </row>
    <row r="17">
      <c r="A17" t="inlineStr"/>
    </row>
    <row r="18">
      <c r="A18" t="inlineStr">
        <is>
          <t xml:space="preserve">    Tariff_t = (WACC_t × RAB_t + Dep_t + OPEX_t) / Demand_t</t>
        </is>
      </c>
    </row>
    <row r="19">
      <c r="A19" t="inlineStr">
        <is>
          <t xml:space="preserve">    RAB_{t+1} = RAB_t + Inv_t − Dep_t</t>
        </is>
      </c>
    </row>
    <row r="20">
      <c r="A20" t="inlineStr">
        <is>
          <t xml:space="preserve">    Dep_t = 0.03 × opening RAB_t</t>
        </is>
      </c>
    </row>
    <row r="21">
      <c r="A21" t="inlineStr">
        <is>
          <t xml:space="preserve">    Inv_s(t) = Inv_B(t) × Demand_s(t) / Demand_B(t)   # original NEP A/C method</t>
        </is>
      </c>
    </row>
    <row r="22">
      <c r="A22" t="inlineStr"/>
    </row>
    <row r="23">
      <c r="A23" t="inlineStr">
        <is>
          <t>Original Excel A/B/C are NEP 2037/2045 Version 2025 *demand* scenarios</t>
        </is>
      </c>
    </row>
    <row r="24">
      <c r="A24" t="inlineStr">
        <is>
          <t>(967 / 1,179 / 1,351 TWh Brutto in 2045). They are not grid-cap scenarios.</t>
        </is>
      </c>
    </row>
    <row r="25">
      <c r="A25" t="inlineStr"/>
    </row>
    <row r="26">
      <c r="A26" t="inlineStr">
        <is>
          <t>Documented TSO/DSO split of the 34 bn peak year: ÜNB 19.8 + VNB 14.4.</t>
        </is>
      </c>
    </row>
    <row r="27">
      <c r="A27" t="inlineStr">
        <is>
          <t>Shares used here are 19.8/34.2 and 14.4/34.2.</t>
        </is>
      </c>
    </row>
    <row r="28">
      <c r="A28" t="inlineStr"/>
    </row>
    <row r="29">
      <c r="A29" t="inlineStr">
        <is>
          <t>Band allocation (IG 0.22 … IC 1.30) is a multiplier on the *same* system</t>
        </is>
      </c>
    </row>
    <row r="30">
      <c r="A30" t="inlineStr">
        <is>
          <t>average. It is not a voltage-specific cost pool. PyPSA cannot assign</t>
        </is>
      </c>
    </row>
    <row r="31">
      <c r="A31" t="inlineStr">
        <is>
          <t>customers to HöS vs NS: industry electricity sits on LV.</t>
        </is>
      </c>
    </row>
    <row r="32">
      <c r="A32" t="inlineStr"/>
    </row>
    <row r="33">
      <c r="A33" t="inlineStr">
        <is>
          <t>## PyPSA geography and assets</t>
        </is>
      </c>
    </row>
    <row r="34">
      <c r="A34" t="inlineStr"/>
    </row>
    <row r="35">
      <c r="A35" t="inlineStr">
        <is>
          <t>Germany = 3 AC nodes (DE2 0/1/2) in the 37-cluster networks.</t>
        </is>
      </c>
    </row>
    <row r="36">
      <c r="A36" t="inlineStr">
        <is>
          <t>Costed DSO = carrier 'electricity distribution grid' AND capital_cost &gt; 0.</t>
        </is>
      </c>
    </row>
    <row r="37">
      <c r="A37" t="inlineStr">
        <is>
          <t>Reverse twins and data-centre site links are excluded.</t>
        </is>
      </c>
    </row>
    <row r="38">
      <c r="A38" t="inlineStr"/>
    </row>
    <row r="39">
      <c r="A39" t="inlineStr">
        <is>
          <t>The 85/75/65/50% names are a *Europe-wide* cap on new DSO annualised</t>
        </is>
      </c>
    </row>
    <row r="40">
      <c r="A40" t="inlineStr">
        <is>
          <t>investment. They are not German capacity findings. German realised DSO</t>
        </is>
      </c>
    </row>
    <row r="41">
      <c r="A41" t="inlineStr">
        <is>
          <t>stock vs Build is endogenous (2030: 94.4 / 91.0 / 79.8 / 59.8%;</t>
        </is>
      </c>
    </row>
    <row r="42">
      <c r="A42" t="inlineStr">
        <is>
          <t>2040: 83.7 / 75.4 / 65.3 / 52.7%). Peak HV→LV ratios match stock ratios</t>
        </is>
      </c>
    </row>
    <row r="43">
      <c r="A43" t="inlineStr">
        <is>
          <t>because utilisation is 97% in every run (DSO is sized to peak).</t>
        </is>
      </c>
    </row>
    <row r="44">
      <c r="A44" t="inlineStr"/>
    </row>
    <row r="45">
      <c r="A45" t="inlineStr">
        <is>
          <t>The DSO-budget dual is not stored in the solved .nc files. The EU cap is</t>
        </is>
      </c>
    </row>
    <row r="46">
      <c r="A46" t="inlineStr">
        <is>
          <t>binding (slack ≈ 0) in every inaction run.</t>
        </is>
      </c>
    </row>
    <row r="47">
      <c r="A47" t="inlineStr"/>
    </row>
    <row r="48">
      <c r="A48" t="inlineStr">
        <is>
          <t>Cross-border AC/DC volume is allocated 50% to Germany.</t>
        </is>
      </c>
    </row>
    <row r="49">
      <c r="A49" t="inlineStr"/>
    </row>
    <row r="50">
      <c r="A50" t="inlineStr">
        <is>
          <t>## Denominator</t>
        </is>
      </c>
    </row>
    <row r="51">
      <c r="A51" t="inlineStr"/>
    </row>
    <row r="52">
      <c r="A52" t="inlineStr">
        <is>
          <t>Excel recovers TSO+DSO from total German kWh. The matching PyPSA quantity</t>
        </is>
      </c>
    </row>
    <row r="53">
      <c r="A53" t="inlineStr">
        <is>
          <t>is German *end-use electricity*:</t>
        </is>
      </c>
    </row>
    <row r="54">
      <c r="A54" t="inlineStr">
        <is>
          <t>conventional LV + industry + agriculture + data centres + heat pumps</t>
        </is>
      </c>
    </row>
    <row r="55">
      <c r="A55" t="inlineStr">
        <is>
          <t>+ resistive heaters + BEV chargers.</t>
        </is>
      </c>
    </row>
    <row r="56">
      <c r="A56" t="inlineStr"/>
    </row>
    <row r="57">
      <c r="A57" t="inlineStr">
        <is>
          <t>Not used as the system-average denominator:</t>
        </is>
      </c>
    </row>
    <row r="58">
      <c r="A58" t="inlineStr">
        <is>
          <t>- HV→LV DSO flow (excludes rooftop self-consumption; Excel is TSO+DSO)</t>
        </is>
      </c>
    </row>
    <row r="59">
      <c r="A59" t="inlineStr">
        <is>
          <t>- Gross including electrolysis (50% 2040 PtX jumps to ~270 TWh and would</t>
        </is>
      </c>
    </row>
    <row r="60">
      <c r="A60" t="inlineStr">
        <is>
          <t xml:space="preserve">  inflate the billing base; NEP Brutto includes PtX, StromNEV bands do not)</t>
        </is>
      </c>
    </row>
    <row r="61">
      <c r="A61" t="inlineStr"/>
    </row>
    <row r="62">
      <c r="A62" t="inlineStr">
        <is>
          <t>## Cases</t>
        </is>
      </c>
    </row>
    <row r="63">
      <c r="A63" t="inlineStr"/>
    </row>
    <row r="64">
      <c r="A64" t="inlineStr">
        <is>
          <t>A  Excel method on PyPSA scenarios: Inv × (end-use_s / end-use_Build).</t>
        </is>
      </c>
    </row>
    <row r="65">
      <c r="A65" t="inlineStr">
        <is>
          <t>B  Excel B investment unchanged; only the denominator is PyPSA end-use.</t>
        </is>
      </c>
    </row>
    <row r="66">
      <c r="A66" t="inlineStr">
        <is>
          <t>C  All Inv_base × German DSO stock ratio. Over-scales TSO. Not recommended.</t>
        </is>
      </c>
    </row>
    <row r="67">
      <c r="A67" t="inlineStr">
        <is>
          <t>D  All Inv_base × German peak HV→LV ratio. Empirically identical to C.</t>
        </is>
      </c>
    </row>
    <row r="68">
      <c r="A68" t="inlineStr">
        <is>
          <t>E  Recommended. VNB share × peak DSO; ÜNB share × TSO *stock* GW-km.</t>
        </is>
      </c>
    </row>
    <row r="69">
      <c r="A69" t="inlineStr">
        <is>
          <t xml:space="preserve">   Historical 2023–2025 unscaled.</t>
        </is>
      </c>
    </row>
    <row r="70">
      <c r="A70" t="inlineStr"/>
    </row>
    <row r="71">
      <c r="A71" t="inlineStr">
        <is>
          <t>Sensitivities on the E sheet set: TSO left at NEP (E_dso_only_tso_nep);</t>
        </is>
      </c>
    </row>
    <row r="72">
      <c r="A72" t="inlineStr">
        <is>
          <t>TSO scaled by *new* GW-km (E_tso_new_volume; 50% 2030 new TSO is ~7% of</t>
        </is>
      </c>
    </row>
    <row r="73">
      <c r="A73" t="inlineStr">
        <is>
          <t>Build and is not a realistic replacement programme).</t>
        </is>
      </c>
    </row>
    <row r="74">
      <c r="A74" t="inlineStr"/>
    </row>
    <row r="75">
      <c r="A75" t="inlineStr">
        <is>
          <t>## What is exogenous vs endogenous</t>
        </is>
      </c>
    </row>
    <row r="76">
      <c r="A76" t="inlineStr"/>
    </row>
    <row r="77">
      <c r="A77" t="inlineStr">
        <is>
          <t>Exogenous: EU DSO budget labels, Excel RAB/WACC/OPEX/Inv_base, OPEX</t>
        </is>
      </c>
    </row>
    <row r="78">
      <c r="A78" t="inlineStr">
        <is>
          <t>invariance, band weights, conventional/industry/agri/data-centre TWh.</t>
        </is>
      </c>
    </row>
    <row r="79">
      <c r="A79" t="inlineStr"/>
    </row>
    <row r="80">
      <c r="A80" t="inlineStr">
        <is>
          <t>Endogenous: German realised DSO capacity and peak flow; German TSO</t>
        </is>
      </c>
    </row>
    <row r="81">
      <c r="A81" t="inlineStr">
        <is>
          <t>expansion (it *falls* with the DSO cap, it does not substitute);</t>
        </is>
      </c>
    </row>
    <row r="82">
      <c r="A82" t="inlineStr">
        <is>
          <t>HP/RH/BEV; rooftop (hits the German cap from 65% 2030); shedding</t>
        </is>
      </c>
    </row>
    <row r="83">
      <c r="A83" t="inlineStr">
        <is>
          <t>(50% 2030 only, ~20 TWh LV); electrolysis; Germany's rising share of</t>
        </is>
      </c>
    </row>
    <row r="84">
      <c r="A84" t="inlineStr">
        <is>
          <t>the scarce EU DSO pie (16% → ~19–21%).</t>
        </is>
      </c>
    </row>
    <row r="85">
      <c r="A85" t="inlineStr"/>
    </row>
    <row r="86">
      <c r="A86" t="inlineStr">
        <is>
          <t>## Publication recommendation</t>
        </is>
      </c>
    </row>
    <row r="87">
      <c r="A87" t="inlineStr"/>
    </row>
    <row r="88">
      <c r="A88" t="inlineStr">
        <is>
          <t>Use Case E. Peak is the right physical driver for DSO investment; in</t>
        </is>
      </c>
    </row>
    <row r="89">
      <c r="A89" t="inlineStr">
        <is>
          <t>these solves it equals capacity. Do not present 85/75/65/50% as German</t>
        </is>
      </c>
    </row>
    <row r="90">
      <c r="A90" t="inlineStr">
        <is>
          <t>DSO findings. Do not put PyPSA euros into the German RAB.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1F3864"/>
    <outlinePr summaryBelow="1" summaryRight="1"/>
    <pageSetUpPr/>
  </sheetPr>
  <dimension ref="A1:C41"/>
  <sheetViews>
    <sheetView showGridLines="0" topLeftCell="A7" workbookViewId="0">
      <selection activeCell="B33" sqref="B33"/>
    </sheetView>
  </sheetViews>
  <sheetFormatPr baseColWidth="8" defaultRowHeight="15"/>
  <cols>
    <col width="38" customWidth="1" style="59" min="1" max="1"/>
    <col width="20" customWidth="1" style="59" min="2" max="2"/>
    <col width="48" customWidth="1" style="59" min="3" max="3"/>
  </cols>
  <sheetData>
    <row r="1" ht="30" customHeight="1" s="59">
      <c r="A1" s="64" t="inlineStr">
        <is>
          <t>German Industrial Network Tariff Model — Parameters  (v3)</t>
        </is>
      </c>
    </row>
    <row r="2" ht="19.9" customHeight="1" s="59">
      <c r="A2" s="65" t="inlineStr">
        <is>
          <t>Formula:  Tariff_t = (WACC·RAB_t + Dep_t + OPEX_t) / Demand_t     |     Inv_s(t) = Inv_base(t) × Demand_s(t) / Demand_B(t)     |     ★ 2023–2025 = historical benchmark (yellow)</t>
        </is>
      </c>
    </row>
    <row r="4">
      <c r="A4" s="63" t="inlineStr">
        <is>
          <t xml:space="preserve">  ① WACC</t>
        </is>
      </c>
      <c r="B4" s="78" t="n"/>
      <c r="C4" s="79" t="n"/>
    </row>
    <row r="5" ht="22.15" customHeight="1" s="59">
      <c r="A5" s="1" t="inlineStr">
        <is>
          <t>WACC 2024–2028</t>
        </is>
      </c>
      <c r="B5" s="2" t="n">
        <v>0.0504</v>
      </c>
      <c r="C5" s="3" t="inlineStr">
        <is>
          <t>BNetzA BK4-21-055/056: EK new 5.07%/old 3.51%; 40/60 EK-FK; 30% tax → pre-tax 5.04%</t>
        </is>
      </c>
    </row>
    <row r="6" ht="22.15" customHeight="1" s="59">
      <c r="A6" s="1" t="inlineStr">
        <is>
          <t>WACC 2029–2050</t>
        </is>
      </c>
      <c r="B6" s="2" t="n">
        <v>0.055</v>
      </c>
      <c r="C6" s="3" t="inlineStr">
        <is>
          <t>OLG Düsseldorf Aug 2023 + BNetzA AGNes reform; central estimate</t>
        </is>
      </c>
    </row>
    <row r="8">
      <c r="A8" s="63" t="inlineStr">
        <is>
          <t xml:space="preserve">  ② RAB &amp; Depreciation</t>
        </is>
      </c>
      <c r="B8" s="78" t="n"/>
      <c r="C8" s="79" t="n"/>
    </row>
    <row r="9" ht="22.15" customHeight="1" s="59">
      <c r="A9" s="1" t="inlineStr">
        <is>
          <t>Opening RAB (2023)</t>
        </is>
      </c>
      <c r="B9" s="4" t="n">
        <v>186</v>
      </c>
      <c r="C9" s="3" t="inlineStr">
        <is>
          <t>Back-derived: BDEW 2024 capital costs €15bn/yr → (5.04%+3%)×RAB=15bn</t>
        </is>
      </c>
    </row>
    <row r="10" ht="22.15" customHeight="1" s="59">
      <c r="A10" s="1" t="inlineStr">
        <is>
          <t>Depreciation rate</t>
        </is>
      </c>
      <c r="B10" s="2" t="n">
        <v>0.03</v>
      </c>
      <c r="C10" s="3" t="inlineStr">
        <is>
          <t>ARegV §6: ~33-yr average regulated asset life</t>
        </is>
      </c>
    </row>
    <row r="11" ht="22.15" customHeight="1" s="59">
      <c r="A11" s="1" t="inlineStr">
        <is>
          <t>RAB roll-forward</t>
        </is>
      </c>
      <c r="B11" s="5" t="inlineStr">
        <is>
          <t>RAB_{t+1} = RAB_t + Inv_t − Dep_t</t>
        </is>
      </c>
      <c r="C11" s="3" t="inlineStr">
        <is>
          <t>Building-block model; Inv_t is scenario-adjusted</t>
        </is>
      </c>
    </row>
    <row r="13">
      <c r="A13" s="63" t="inlineStr">
        <is>
          <t xml:space="preserve">  ③ OPEX</t>
        </is>
      </c>
      <c r="B13" s="78" t="n"/>
      <c r="C13" s="79" t="n"/>
    </row>
    <row r="14" ht="22.15" customHeight="1" s="59">
      <c r="A14" s="1" t="inlineStr">
        <is>
          <t>OPEX 2023→2045 (linear)</t>
        </is>
      </c>
      <c r="B14" s="5" t="inlineStr">
        <is>
          <t>€15bn → €27bn</t>
        </is>
      </c>
      <c r="C14" s="3" t="inlineStr">
        <is>
          <t>BDEW/Frontier Economics Dec 2024; flat from 2045</t>
        </is>
      </c>
    </row>
    <row r="16">
      <c r="A16" s="63" t="inlineStr">
        <is>
          <t xml:space="preserve">  ④ Base Investment Schedule (Scenario B)</t>
        </is>
      </c>
      <c r="B16" s="78" t="n"/>
      <c r="C16" s="79" t="n"/>
    </row>
    <row r="17" ht="22.15" customHeight="1" s="59">
      <c r="A17" s="1" t="inlineStr">
        <is>
          <t xml:space="preserve">  Inv_base 2023</t>
        </is>
      </c>
      <c r="B17" s="4" t="n">
        <v>15</v>
      </c>
      <c r="C17" s="3" t="inlineStr">
        <is>
          <t>IMK/Böckler Dec 2024</t>
        </is>
      </c>
    </row>
    <row r="18" ht="22.15" customHeight="1" s="59">
      <c r="A18" s="1" t="inlineStr">
        <is>
          <t xml:space="preserve">  Inv_base 2024–2025</t>
        </is>
      </c>
      <c r="B18" s="4" t="n">
        <v>18</v>
      </c>
      <c r="C18" s="3" t="inlineStr">
        <is>
          <t>Ramp</t>
        </is>
      </c>
    </row>
    <row r="19" ht="22.15" customHeight="1" s="59">
      <c r="A19" s="1" t="inlineStr">
        <is>
          <t xml:space="preserve">  Inv_base 2026–2027</t>
        </is>
      </c>
      <c r="B19" s="4" t="n">
        <v>23</v>
      </c>
      <c r="C19" s="3" t="inlineStr">
        <is>
          <t>Acceleration</t>
        </is>
      </c>
    </row>
    <row r="20" ht="22.15" customHeight="1" s="59">
      <c r="A20" s="1" t="inlineStr">
        <is>
          <t xml:space="preserve">  Inv_base 2028–2029</t>
        </is>
      </c>
      <c r="B20" s="4" t="n">
        <v>30</v>
      </c>
      <c r="C20" s="3" t="inlineStr">
        <is>
          <t>Near-peak</t>
        </is>
      </c>
    </row>
    <row r="21" ht="22.15" customHeight="1" s="59">
      <c r="A21" s="1" t="inlineStr">
        <is>
          <t xml:space="preserve">  Inv_base 2030–2037</t>
        </is>
      </c>
      <c r="B21" s="4" t="n">
        <v>34</v>
      </c>
      <c r="C21" s="3" t="inlineStr">
        <is>
          <t>Peak; ÜNB ~€19.8bn + VNB ~€14.4bn</t>
        </is>
      </c>
    </row>
    <row r="22" ht="22.15" customHeight="1" s="59">
      <c r="A22" s="1" t="inlineStr">
        <is>
          <t xml:space="preserve">  Inv_base 2038–2045</t>
        </is>
      </c>
      <c r="B22" s="4" t="n">
        <v>24</v>
      </c>
      <c r="C22" s="3" t="inlineStr">
        <is>
          <t>Transmission complete post-2037; distribution stays elevated</t>
        </is>
      </c>
    </row>
    <row r="23" ht="22.15" customHeight="1" s="59">
      <c r="A23" s="1" t="inlineStr">
        <is>
          <t xml:space="preserve">  Inv_base 2046–2050</t>
        </is>
      </c>
      <c r="B23" s="4" t="n">
        <v>18</v>
      </c>
      <c r="C23" s="3" t="inlineStr">
        <is>
          <t>[INFERENCE]</t>
        </is>
      </c>
    </row>
    <row r="25">
      <c r="A25" s="63" t="inlineStr">
        <is>
          <t xml:space="preserve">  ⑤ Scenario-Adjusted Investment  ★</t>
        </is>
      </c>
      <c r="B25" s="78" t="n"/>
      <c r="C25" s="79" t="n"/>
    </row>
    <row r="26" ht="22.15" customHeight="1" s="59">
      <c r="A26" s="1" t="inlineStr">
        <is>
          <t>Inv_A(t)=Inv_B(t)×Dem_A(t)/Dem_B(t)</t>
        </is>
      </c>
      <c r="B26" s="5" t="inlineStr">
        <is>
          <t>proportional scaling</t>
        </is>
      </c>
      <c r="C26" s="3" t="inlineStr">
        <is>
          <t>Lower demand → smaller grid investment → smaller RAB</t>
        </is>
      </c>
    </row>
    <row r="27" ht="22.15" customHeight="1" s="59">
      <c r="A27" s="1" t="inlineStr">
        <is>
          <t>Inv_C(t)=Inv_B(t)×Dem_C(t)/Dem_B(t)</t>
        </is>
      </c>
      <c r="B27" s="5" t="inlineStr">
        <is>
          <t>proportional scaling</t>
        </is>
      </c>
      <c r="C27" s="3" t="inlineStr">
        <is>
          <t>Higher demand → larger investment → larger RAB</t>
        </is>
      </c>
    </row>
    <row r="29">
      <c r="A29" s="63" t="inlineStr">
        <is>
          <t xml:space="preserve">  ⑥ ★ UPDATED Demand Scenarios  (NEP 2037/2045 Version 2025 draft, July 2024)</t>
        </is>
      </c>
      <c r="B29" s="78" t="n"/>
      <c r="C29" s="79" t="n"/>
    </row>
    <row r="30" ht="22.15" customHeight="1" s="59">
      <c r="A30" s="1" t="inlineStr">
        <is>
          <t>Scenario A  (Bruttostromverbrauch 2045)</t>
        </is>
      </c>
      <c r="B30" s="6" t="n">
        <v>967</v>
      </c>
      <c r="C30" s="3" t="inlineStr">
        <is>
          <t>TSO Szenariorahmenentwurf NEP2037/2045 Version 2025, p.13: 'Bruttostromverbrauch 967 TWh in 2045'</t>
        </is>
      </c>
    </row>
    <row r="31" ht="22.15" customHeight="1" s="59">
      <c r="A31" s="1" t="inlineStr">
        <is>
          <t>Scenario B  (Bruttostromverbrauch 2045)</t>
        </is>
      </c>
      <c r="B31" s="6" t="n">
        <v>1179</v>
      </c>
      <c r="C31" s="3" t="inlineStr">
        <is>
          <t>TSO Szenariorahmenentwurf NEP2037/2045 Version 2025, p.15: 'Bruttostromverbrauch 1.179 TWh in 2045'</t>
        </is>
      </c>
    </row>
    <row r="32" ht="22.15" customHeight="1" s="59">
      <c r="A32" s="1" t="inlineStr">
        <is>
          <t>Scenario C  (Bruttostromverbrauch 2045)</t>
        </is>
      </c>
      <c r="B32" s="6" t="n">
        <v>1351</v>
      </c>
      <c r="C32" s="3" t="inlineStr">
        <is>
          <t>TSO Szenariorahmenentwurf NEP2037/2045 Version 2025, p.17: 'Bruttostromverbrauch 1.351 TWh in 2045'</t>
        </is>
      </c>
    </row>
    <row r="33" ht="22.15" customHeight="1" s="59">
      <c r="A33" s="1" t="inlineStr">
        <is>
          <t>Note on gross vs net</t>
        </is>
      </c>
      <c r="B33" s="5" t="inlineStr">
        <is>
          <t>Gross (Brutto) figures used as denominator</t>
        </is>
      </c>
      <c r="C33" s="3" t="inlineStr">
        <is>
          <t>For precise tariff calculation, apply ~8% net-to-gross correction → net A≈890/B≈1,085/C≈1,243 TWh. Using gross slightly understates tariffs.</t>
        </is>
      </c>
    </row>
    <row r="34" ht="22.15" customHeight="1" s="59">
      <c r="A34" s="1" t="inlineStr">
        <is>
          <t>2037 intermediate (A/B/C, gross)</t>
        </is>
      </c>
      <c r="B34" s="5" t="inlineStr">
        <is>
          <t>855 / 1,030 / 1,180 TWh</t>
        </is>
      </c>
      <c r="C34" s="3" t="inlineStr">
        <is>
          <t>BNetzA approved SR 2025 via ZFK Dec 2025: 'Szenario A 845-865 TWh, B 1,000-1,065 TWh for 2037'</t>
        </is>
      </c>
    </row>
    <row r="36">
      <c r="A36" s="63" t="inlineStr">
        <is>
          <t xml:space="preserve">  ⑦ Band Allocation Weights</t>
        </is>
      </c>
      <c r="B36" s="78" t="n"/>
      <c r="C36" s="79" t="n"/>
    </row>
    <row r="37" ht="22.15" customHeight="1" s="59">
      <c r="A37" s="1" t="inlineStr">
        <is>
          <t xml:space="preserve">  IG  &gt;150 GWh  HöS</t>
        </is>
      </c>
      <c r="B37" s="7" t="n">
        <v>0.22</v>
      </c>
      <c r="C37" s="3" t="inlineStr">
        <is>
          <t>Deep-embedded cost causation; calibrated to EWI BW study + BNetzA DSO price sheets</t>
        </is>
      </c>
    </row>
    <row r="38" ht="22.15" customHeight="1" s="59">
      <c r="A38" s="1" t="inlineStr">
        <is>
          <t xml:space="preserve">  IF  70–150 GWh  HS/HöS</t>
        </is>
      </c>
      <c r="B38" s="7" t="n">
        <v>0.4</v>
      </c>
      <c r="C38" s="3" t="inlineStr">
        <is>
          <t>Deep-embedded cost causation; calibrated to EWI BW study + BNetzA DSO price sheets</t>
        </is>
      </c>
    </row>
    <row r="39" ht="22.15" customHeight="1" s="59">
      <c r="A39" s="1" t="inlineStr">
        <is>
          <t xml:space="preserve">  IE  20–70 GWh  HS</t>
        </is>
      </c>
      <c r="B39" s="7" t="n">
        <v>0.63</v>
      </c>
      <c r="C39" s="3" t="inlineStr">
        <is>
          <t>Deep-embedded cost causation; calibrated to EWI BW study + BNetzA DSO price sheets</t>
        </is>
      </c>
    </row>
    <row r="40" ht="22.15" customHeight="1" s="59">
      <c r="A40" s="1" t="inlineStr">
        <is>
          <t xml:space="preserve">  ID  2–20 GWh  MS</t>
        </is>
      </c>
      <c r="B40" s="7" t="n">
        <v>0.93</v>
      </c>
      <c r="C40" s="3" t="inlineStr">
        <is>
          <t>Deep-embedded cost causation; calibrated to EWI BW study + BNetzA DSO price sheets</t>
        </is>
      </c>
    </row>
    <row r="41" ht="22.15" customHeight="1" s="59">
      <c r="A41" s="1" t="inlineStr">
        <is>
          <t xml:space="preserve">  IC  0.5–2 GWh  NS</t>
        </is>
      </c>
      <c r="B41" s="7" t="n">
        <v>1.3</v>
      </c>
      <c r="C41" s="3" t="inlineStr">
        <is>
          <t>Deep-embedded cost causation; calibrated to EWI BW study + BNetzA DSO price sheets</t>
        </is>
      </c>
    </row>
  </sheetData>
  <mergeCells count="9">
    <mergeCell ref="A25:C25"/>
    <mergeCell ref="A13:C13"/>
    <mergeCell ref="A36:C36"/>
    <mergeCell ref="A1:C1"/>
    <mergeCell ref="A16:C16"/>
    <mergeCell ref="A8:C8"/>
    <mergeCell ref="A29:C29"/>
    <mergeCell ref="A4:C4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E75B6"/>
    <outlinePr summaryBelow="1" summaryRight="1"/>
    <pageSetUpPr/>
  </sheetPr>
  <dimension ref="A1:Y31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E16" sqref="E16"/>
    </sheetView>
  </sheetViews>
  <sheetFormatPr baseColWidth="8" defaultRowHeight="15"/>
  <cols>
    <col width="7" customWidth="1" style="59" min="1" max="1"/>
    <col width="11" customWidth="1" style="59" min="2" max="26"/>
  </cols>
  <sheetData>
    <row r="1" ht="24" customHeight="1" s="59">
      <c r="A1" s="61" t="inlineStr">
        <is>
          <t>RAB Roll-Forward &amp; Cost Numerator  |  ★ Yellow = 2023–2025 historical benchmark  |  Inv_s(t) = Inv_base(t) × Demand_s(t) / Demand_B(t)</t>
        </is>
      </c>
    </row>
    <row r="2" ht="19.9" customHeight="1" s="59">
      <c r="A2" s="8" t="inlineStr">
        <is>
          <t>Year</t>
        </is>
      </c>
      <c r="B2" s="68" t="inlineStr">
        <is>
          <t>Scenario A — Low</t>
        </is>
      </c>
      <c r="C2" s="78" t="n"/>
      <c r="D2" s="78" t="n"/>
      <c r="E2" s="78" t="n"/>
      <c r="F2" s="78" t="n"/>
      <c r="G2" s="78" t="n"/>
      <c r="H2" s="78" t="n"/>
      <c r="I2" s="79" t="n"/>
      <c r="J2" s="67" t="inlineStr">
        <is>
          <t>Scenario B — Base</t>
        </is>
      </c>
      <c r="K2" s="78" t="n"/>
      <c r="L2" s="78" t="n"/>
      <c r="M2" s="78" t="n"/>
      <c r="N2" s="78" t="n"/>
      <c r="O2" s="78" t="n"/>
      <c r="P2" s="78" t="n"/>
      <c r="Q2" s="79" t="n"/>
      <c r="R2" s="66" t="inlineStr">
        <is>
          <t>Scenario C — High</t>
        </is>
      </c>
      <c r="S2" s="78" t="n"/>
      <c r="T2" s="78" t="n"/>
      <c r="U2" s="78" t="n"/>
      <c r="V2" s="78" t="n"/>
      <c r="W2" s="78" t="n"/>
      <c r="X2" s="78" t="n"/>
      <c r="Y2" s="79" t="n"/>
    </row>
    <row r="3" ht="37.9" customHeight="1" s="59">
      <c r="A3" s="9" t="n"/>
      <c r="B3" s="10" t="inlineStr">
        <is>
          <t>Inv
(bn €)</t>
        </is>
      </c>
      <c r="C3" s="10" t="inlineStr">
        <is>
          <t>Dep
(bn €)</t>
        </is>
      </c>
      <c r="D3" s="10" t="inlineStr">
        <is>
          <t>Closing RAB
(bn €)</t>
        </is>
      </c>
      <c r="E3" s="10" t="inlineStr">
        <is>
          <t>WACC×RAB
(bn €)</t>
        </is>
      </c>
      <c r="F3" s="10" t="inlineStr">
        <is>
          <t>OPEX
(bn €)</t>
        </is>
      </c>
      <c r="G3" s="10" t="inlineStr">
        <is>
          <t>Total Cost
(bn €)</t>
        </is>
      </c>
      <c r="H3" s="10" t="inlineStr">
        <is>
          <t>Demand
(TWh)</t>
        </is>
      </c>
      <c r="I3" s="10" t="inlineStr">
        <is>
          <t>Sys Avg
(ct/kWh)</t>
        </is>
      </c>
      <c r="J3" s="11" t="inlineStr">
        <is>
          <t>Inv
(bn €)</t>
        </is>
      </c>
      <c r="K3" s="11" t="inlineStr">
        <is>
          <t>Dep
(bn €)</t>
        </is>
      </c>
      <c r="L3" s="11" t="inlineStr">
        <is>
          <t>Closing RAB
(bn €)</t>
        </is>
      </c>
      <c r="M3" s="11" t="inlineStr">
        <is>
          <t>WACC×RAB
(bn €)</t>
        </is>
      </c>
      <c r="N3" s="11" t="inlineStr">
        <is>
          <t>OPEX
(bn €)</t>
        </is>
      </c>
      <c r="O3" s="11" t="inlineStr">
        <is>
          <t>Total Cost
(bn €)</t>
        </is>
      </c>
      <c r="P3" s="11" t="inlineStr">
        <is>
          <t>Demand
(TWh)</t>
        </is>
      </c>
      <c r="Q3" s="11" t="inlineStr">
        <is>
          <t>Sys Avg
(ct/kWh)</t>
        </is>
      </c>
      <c r="R3" s="12" t="inlineStr">
        <is>
          <t>Inv
(bn €)</t>
        </is>
      </c>
      <c r="S3" s="12" t="inlineStr">
        <is>
          <t>Dep
(bn €)</t>
        </is>
      </c>
      <c r="T3" s="12" t="inlineStr">
        <is>
          <t>Closing RAB
(bn €)</t>
        </is>
      </c>
      <c r="U3" s="12" t="inlineStr">
        <is>
          <t>WACC×RAB
(bn €)</t>
        </is>
      </c>
      <c r="V3" s="12" t="inlineStr">
        <is>
          <t>OPEX
(bn €)</t>
        </is>
      </c>
      <c r="W3" s="12" t="inlineStr">
        <is>
          <t>Total Cost
(bn €)</t>
        </is>
      </c>
      <c r="X3" s="12" t="inlineStr">
        <is>
          <t>Demand
(TWh)</t>
        </is>
      </c>
      <c r="Y3" s="12" t="inlineStr">
        <is>
          <t>Sys Avg
(ct/kWh)</t>
        </is>
      </c>
    </row>
    <row r="4" ht="15" customHeight="1" s="59">
      <c r="A4" s="13" t="n">
        <v>2023</v>
      </c>
      <c r="B4" s="14" t="n">
        <v>15</v>
      </c>
      <c r="C4" s="14" t="n">
        <v>5.58</v>
      </c>
      <c r="D4" s="14" t="n">
        <v>195.42</v>
      </c>
      <c r="E4" s="14" t="n">
        <v>9.369999999999999</v>
      </c>
      <c r="F4" s="14" t="n">
        <v>15</v>
      </c>
      <c r="G4" s="14" t="n">
        <v>29.95</v>
      </c>
      <c r="H4" s="15" t="n">
        <v>510</v>
      </c>
      <c r="I4" s="16" t="n">
        <v>5.87</v>
      </c>
      <c r="J4" s="14" t="n">
        <v>15</v>
      </c>
      <c r="K4" s="14" t="n">
        <v>5.58</v>
      </c>
      <c r="L4" s="14" t="n">
        <v>195.42</v>
      </c>
      <c r="M4" s="14" t="n">
        <v>9.369999999999999</v>
      </c>
      <c r="N4" s="14" t="n">
        <v>15</v>
      </c>
      <c r="O4" s="14" t="n">
        <v>29.95</v>
      </c>
      <c r="P4" s="15" t="n">
        <v>510</v>
      </c>
      <c r="Q4" s="16" t="n">
        <v>5.87</v>
      </c>
      <c r="R4" s="14" t="n">
        <v>15</v>
      </c>
      <c r="S4" s="14" t="n">
        <v>5.58</v>
      </c>
      <c r="T4" s="14" t="n">
        <v>195.42</v>
      </c>
      <c r="U4" s="14" t="n">
        <v>9.369999999999999</v>
      </c>
      <c r="V4" s="14" t="n">
        <v>15</v>
      </c>
      <c r="W4" s="14" t="n">
        <v>29.95</v>
      </c>
      <c r="X4" s="15" t="n">
        <v>510</v>
      </c>
      <c r="Y4" s="16" t="n">
        <v>5.87</v>
      </c>
    </row>
    <row r="5" ht="15" customHeight="1" s="59">
      <c r="A5" s="13" t="n">
        <v>2024</v>
      </c>
      <c r="B5" s="14" t="n">
        <v>17.83</v>
      </c>
      <c r="C5" s="14" t="n">
        <v>5.86</v>
      </c>
      <c r="D5" s="14" t="n">
        <v>207.38</v>
      </c>
      <c r="E5" s="14" t="n">
        <v>9.85</v>
      </c>
      <c r="F5" s="14" t="n">
        <v>15.55</v>
      </c>
      <c r="G5" s="14" t="n">
        <v>31.26</v>
      </c>
      <c r="H5" s="15" t="n">
        <v>515</v>
      </c>
      <c r="I5" s="16" t="n">
        <v>6.07</v>
      </c>
      <c r="J5" s="14" t="n">
        <v>18</v>
      </c>
      <c r="K5" s="14" t="n">
        <v>5.86</v>
      </c>
      <c r="L5" s="14" t="n">
        <v>207.56</v>
      </c>
      <c r="M5" s="14" t="n">
        <v>9.85</v>
      </c>
      <c r="N5" s="14" t="n">
        <v>15.55</v>
      </c>
      <c r="O5" s="14" t="n">
        <v>31.26</v>
      </c>
      <c r="P5" s="15" t="n">
        <v>520</v>
      </c>
      <c r="Q5" s="16" t="n">
        <v>6.01</v>
      </c>
      <c r="R5" s="14" t="n">
        <v>18.26</v>
      </c>
      <c r="S5" s="14" t="n">
        <v>5.86</v>
      </c>
      <c r="T5" s="14" t="n">
        <v>207.82</v>
      </c>
      <c r="U5" s="14" t="n">
        <v>9.85</v>
      </c>
      <c r="V5" s="14" t="n">
        <v>15.55</v>
      </c>
      <c r="W5" s="14" t="n">
        <v>31.26</v>
      </c>
      <c r="X5" s="15" t="n">
        <v>527.5</v>
      </c>
      <c r="Y5" s="16" t="n">
        <v>5.93</v>
      </c>
    </row>
    <row r="6" ht="15" customHeight="1" s="59">
      <c r="A6" s="13" t="n">
        <v>2025</v>
      </c>
      <c r="B6" s="14" t="n">
        <v>17.66</v>
      </c>
      <c r="C6" s="14" t="n">
        <v>6.22</v>
      </c>
      <c r="D6" s="14" t="n">
        <v>218.82</v>
      </c>
      <c r="E6" s="14" t="n">
        <v>10.45</v>
      </c>
      <c r="F6" s="14" t="n">
        <v>16.09</v>
      </c>
      <c r="G6" s="14" t="n">
        <v>32.76</v>
      </c>
      <c r="H6" s="15" t="n">
        <v>520</v>
      </c>
      <c r="I6" s="16" t="n">
        <v>6.3</v>
      </c>
      <c r="J6" s="14" t="n">
        <v>18</v>
      </c>
      <c r="K6" s="14" t="n">
        <v>6.23</v>
      </c>
      <c r="L6" s="14" t="n">
        <v>219.33</v>
      </c>
      <c r="M6" s="14" t="n">
        <v>10.46</v>
      </c>
      <c r="N6" s="14" t="n">
        <v>16.09</v>
      </c>
      <c r="O6" s="14" t="n">
        <v>32.78</v>
      </c>
      <c r="P6" s="15" t="n">
        <v>530</v>
      </c>
      <c r="Q6" s="16" t="n">
        <v>6.18</v>
      </c>
      <c r="R6" s="14" t="n">
        <v>18.51</v>
      </c>
      <c r="S6" s="14" t="n">
        <v>6.23</v>
      </c>
      <c r="T6" s="14" t="n">
        <v>220.09</v>
      </c>
      <c r="U6" s="14" t="n">
        <v>10.47</v>
      </c>
      <c r="V6" s="14" t="n">
        <v>16.09</v>
      </c>
      <c r="W6" s="14" t="n">
        <v>32.8</v>
      </c>
      <c r="X6" s="15" t="n">
        <v>545</v>
      </c>
      <c r="Y6" s="16" t="n">
        <v>6.02</v>
      </c>
    </row>
    <row r="7" ht="15" customHeight="1" s="59">
      <c r="A7" s="17" t="n">
        <v>2026</v>
      </c>
      <c r="B7" s="18" t="n">
        <v>22.09</v>
      </c>
      <c r="C7" s="18" t="n">
        <v>6.56</v>
      </c>
      <c r="D7" s="18" t="n">
        <v>234.35</v>
      </c>
      <c r="E7" s="18" t="n">
        <v>11.03</v>
      </c>
      <c r="F7" s="18" t="n">
        <v>16.64</v>
      </c>
      <c r="G7" s="18" t="n">
        <v>34.23</v>
      </c>
      <c r="H7" s="19" t="n">
        <v>534</v>
      </c>
      <c r="I7" s="20" t="n">
        <v>6.41</v>
      </c>
      <c r="J7" s="18" t="n">
        <v>23</v>
      </c>
      <c r="K7" s="18" t="n">
        <v>6.58</v>
      </c>
      <c r="L7" s="18" t="n">
        <v>235.75</v>
      </c>
      <c r="M7" s="18" t="n">
        <v>11.05</v>
      </c>
      <c r="N7" s="18" t="n">
        <v>16.64</v>
      </c>
      <c r="O7" s="18" t="n">
        <v>34.27</v>
      </c>
      <c r="P7" s="19" t="n">
        <v>556</v>
      </c>
      <c r="Q7" s="20" t="n">
        <v>6.16</v>
      </c>
      <c r="R7" s="18" t="n">
        <v>24.16</v>
      </c>
      <c r="S7" s="18" t="n">
        <v>6.6</v>
      </c>
      <c r="T7" s="18" t="n">
        <v>237.65</v>
      </c>
      <c r="U7" s="18" t="n">
        <v>11.09</v>
      </c>
      <c r="V7" s="18" t="n">
        <v>16.64</v>
      </c>
      <c r="W7" s="18" t="n">
        <v>34.33</v>
      </c>
      <c r="X7" s="19" t="n">
        <v>584</v>
      </c>
      <c r="Y7" s="20" t="n">
        <v>5.88</v>
      </c>
    </row>
    <row r="8" ht="15" customHeight="1" s="59">
      <c r="A8" s="21" t="n">
        <v>2027</v>
      </c>
      <c r="B8" s="22" t="n">
        <v>21.66</v>
      </c>
      <c r="C8" s="22" t="n">
        <v>7.03</v>
      </c>
      <c r="D8" s="22" t="n">
        <v>248.97</v>
      </c>
      <c r="E8" s="22" t="n">
        <v>11.81</v>
      </c>
      <c r="F8" s="22" t="n">
        <v>17.18</v>
      </c>
      <c r="G8" s="22" t="n">
        <v>36.02</v>
      </c>
      <c r="H8" s="23" t="n">
        <v>548</v>
      </c>
      <c r="I8" s="24" t="n">
        <v>6.57</v>
      </c>
      <c r="J8" s="22" t="n">
        <v>23</v>
      </c>
      <c r="K8" s="22" t="n">
        <v>7.07</v>
      </c>
      <c r="L8" s="22" t="n">
        <v>251.68</v>
      </c>
      <c r="M8" s="22" t="n">
        <v>11.88</v>
      </c>
      <c r="N8" s="22" t="n">
        <v>17.18</v>
      </c>
      <c r="O8" s="22" t="n">
        <v>36.14</v>
      </c>
      <c r="P8" s="23" t="n">
        <v>582</v>
      </c>
      <c r="Q8" s="24" t="n">
        <v>6.21</v>
      </c>
      <c r="R8" s="22" t="n">
        <v>24.62</v>
      </c>
      <c r="S8" s="22" t="n">
        <v>7.13</v>
      </c>
      <c r="T8" s="22" t="n">
        <v>255.14</v>
      </c>
      <c r="U8" s="22" t="n">
        <v>11.98</v>
      </c>
      <c r="V8" s="22" t="n">
        <v>17.18</v>
      </c>
      <c r="W8" s="22" t="n">
        <v>36.29</v>
      </c>
      <c r="X8" s="23" t="n">
        <v>623</v>
      </c>
      <c r="Y8" s="24" t="n">
        <v>5.82</v>
      </c>
    </row>
    <row r="9" ht="15" customHeight="1" s="59">
      <c r="A9" s="17" t="n">
        <v>2028</v>
      </c>
      <c r="B9" s="18" t="n">
        <v>27.73</v>
      </c>
      <c r="C9" s="18" t="n">
        <v>7.47</v>
      </c>
      <c r="D9" s="18" t="n">
        <v>269.24</v>
      </c>
      <c r="E9" s="18" t="n">
        <v>12.55</v>
      </c>
      <c r="F9" s="18" t="n">
        <v>17.73</v>
      </c>
      <c r="G9" s="18" t="n">
        <v>37.74</v>
      </c>
      <c r="H9" s="19" t="n">
        <v>562</v>
      </c>
      <c r="I9" s="20" t="n">
        <v>6.72</v>
      </c>
      <c r="J9" s="18" t="n">
        <v>30</v>
      </c>
      <c r="K9" s="18" t="n">
        <v>7.55</v>
      </c>
      <c r="L9" s="18" t="n">
        <v>274.13</v>
      </c>
      <c r="M9" s="18" t="n">
        <v>12.68</v>
      </c>
      <c r="N9" s="18" t="n">
        <v>17.73</v>
      </c>
      <c r="O9" s="18" t="n">
        <v>37.96</v>
      </c>
      <c r="P9" s="19" t="n">
        <v>608</v>
      </c>
      <c r="Q9" s="20" t="n">
        <v>6.24</v>
      </c>
      <c r="R9" s="18" t="n">
        <v>32.66</v>
      </c>
      <c r="S9" s="18" t="n">
        <v>7.65</v>
      </c>
      <c r="T9" s="18" t="n">
        <v>280.15</v>
      </c>
      <c r="U9" s="18" t="n">
        <v>12.86</v>
      </c>
      <c r="V9" s="18" t="n">
        <v>17.73</v>
      </c>
      <c r="W9" s="18" t="n">
        <v>38.24</v>
      </c>
      <c r="X9" s="19" t="n">
        <v>662</v>
      </c>
      <c r="Y9" s="20" t="n">
        <v>5.78</v>
      </c>
    </row>
    <row r="10" ht="15" customHeight="1" s="59">
      <c r="A10" s="21" t="n">
        <v>2029</v>
      </c>
      <c r="B10" s="22" t="n">
        <v>27.26</v>
      </c>
      <c r="C10" s="22" t="n">
        <v>8.08</v>
      </c>
      <c r="D10" s="22" t="n">
        <v>288.41</v>
      </c>
      <c r="E10" s="22" t="n">
        <v>14.81</v>
      </c>
      <c r="F10" s="22" t="n">
        <v>18.27</v>
      </c>
      <c r="G10" s="22" t="n">
        <v>41.16</v>
      </c>
      <c r="H10" s="23" t="n">
        <v>576</v>
      </c>
      <c r="I10" s="24" t="n">
        <v>7.15</v>
      </c>
      <c r="J10" s="22" t="n">
        <v>30</v>
      </c>
      <c r="K10" s="22" t="n">
        <v>8.220000000000001</v>
      </c>
      <c r="L10" s="22" t="n">
        <v>295.9</v>
      </c>
      <c r="M10" s="22" t="n">
        <v>15.08</v>
      </c>
      <c r="N10" s="22" t="n">
        <v>18.27</v>
      </c>
      <c r="O10" s="22" t="n">
        <v>41.57</v>
      </c>
      <c r="P10" s="23" t="n">
        <v>634</v>
      </c>
      <c r="Q10" s="24" t="n">
        <v>6.56</v>
      </c>
      <c r="R10" s="22" t="n">
        <v>33.17</v>
      </c>
      <c r="S10" s="22" t="n">
        <v>8.4</v>
      </c>
      <c r="T10" s="22" t="n">
        <v>304.91</v>
      </c>
      <c r="U10" s="22" t="n">
        <v>15.41</v>
      </c>
      <c r="V10" s="22" t="n">
        <v>18.27</v>
      </c>
      <c r="W10" s="22" t="n">
        <v>42.09</v>
      </c>
      <c r="X10" s="23" t="n">
        <v>701</v>
      </c>
      <c r="Y10" s="24" t="n">
        <v>6</v>
      </c>
    </row>
    <row r="11" ht="15" customHeight="1" s="59">
      <c r="A11" s="25" t="n">
        <v>2030</v>
      </c>
      <c r="B11" s="26" t="n">
        <v>30.39</v>
      </c>
      <c r="C11" s="26" t="n">
        <v>8.65</v>
      </c>
      <c r="D11" s="26" t="n">
        <v>310.16</v>
      </c>
      <c r="E11" s="26" t="n">
        <v>15.86</v>
      </c>
      <c r="F11" s="26" t="n">
        <v>18.82</v>
      </c>
      <c r="G11" s="26" t="n">
        <v>43.33</v>
      </c>
      <c r="H11" s="27" t="n">
        <v>590</v>
      </c>
      <c r="I11" s="28" t="n">
        <v>7.34</v>
      </c>
      <c r="J11" s="29" t="n">
        <v>34</v>
      </c>
      <c r="K11" s="29" t="n">
        <v>8.880000000000001</v>
      </c>
      <c r="L11" s="29" t="n">
        <v>321.03</v>
      </c>
      <c r="M11" s="29" t="n">
        <v>16.27</v>
      </c>
      <c r="N11" s="29" t="n">
        <v>18.82</v>
      </c>
      <c r="O11" s="29" t="n">
        <v>43.97</v>
      </c>
      <c r="P11" s="30" t="n">
        <v>660</v>
      </c>
      <c r="Q11" s="31" t="n">
        <v>6.66</v>
      </c>
      <c r="R11" s="32" t="n">
        <v>38.12</v>
      </c>
      <c r="S11" s="32" t="n">
        <v>9.15</v>
      </c>
      <c r="T11" s="32" t="n">
        <v>333.89</v>
      </c>
      <c r="U11" s="32" t="n">
        <v>16.77</v>
      </c>
      <c r="V11" s="32" t="n">
        <v>18.82</v>
      </c>
      <c r="W11" s="32" t="n">
        <v>44.74</v>
      </c>
      <c r="X11" s="33" t="n">
        <v>740</v>
      </c>
      <c r="Y11" s="34" t="n">
        <v>6.05</v>
      </c>
    </row>
    <row r="12" ht="15" customHeight="1" s="59">
      <c r="A12" s="21" t="n">
        <v>2031</v>
      </c>
      <c r="B12" s="22" t="n">
        <v>29.95</v>
      </c>
      <c r="C12" s="22" t="n">
        <v>9.300000000000001</v>
      </c>
      <c r="D12" s="22" t="n">
        <v>330.8</v>
      </c>
      <c r="E12" s="22" t="n">
        <v>17.06</v>
      </c>
      <c r="F12" s="22" t="n">
        <v>19.36</v>
      </c>
      <c r="G12" s="22" t="n">
        <v>45.73</v>
      </c>
      <c r="H12" s="23" t="n">
        <v>627.86</v>
      </c>
      <c r="I12" s="24" t="n">
        <v>7.28</v>
      </c>
      <c r="J12" s="22" t="n">
        <v>34</v>
      </c>
      <c r="K12" s="22" t="n">
        <v>9.630000000000001</v>
      </c>
      <c r="L12" s="22" t="n">
        <v>345.4</v>
      </c>
      <c r="M12" s="22" t="n">
        <v>17.66</v>
      </c>
      <c r="N12" s="22" t="n">
        <v>19.36</v>
      </c>
      <c r="O12" s="22" t="n">
        <v>46.65</v>
      </c>
      <c r="P12" s="23" t="n">
        <v>712.86</v>
      </c>
      <c r="Q12" s="24" t="n">
        <v>6.54</v>
      </c>
      <c r="R12" s="22" t="n">
        <v>38.29</v>
      </c>
      <c r="S12" s="22" t="n">
        <v>10.02</v>
      </c>
      <c r="T12" s="22" t="n">
        <v>362.16</v>
      </c>
      <c r="U12" s="22" t="n">
        <v>18.36</v>
      </c>
      <c r="V12" s="22" t="n">
        <v>19.36</v>
      </c>
      <c r="W12" s="22" t="n">
        <v>47.74</v>
      </c>
      <c r="X12" s="23" t="n">
        <v>802.86</v>
      </c>
      <c r="Y12" s="24" t="n">
        <v>5.95</v>
      </c>
    </row>
    <row r="13" ht="15" customHeight="1" s="59">
      <c r="A13" s="17" t="n">
        <v>2032</v>
      </c>
      <c r="B13" s="18" t="n">
        <v>29.56</v>
      </c>
      <c r="C13" s="18" t="n">
        <v>9.92</v>
      </c>
      <c r="D13" s="18" t="n">
        <v>350.43</v>
      </c>
      <c r="E13" s="18" t="n">
        <v>18.19</v>
      </c>
      <c r="F13" s="18" t="n">
        <v>19.91</v>
      </c>
      <c r="G13" s="18" t="n">
        <v>48.03</v>
      </c>
      <c r="H13" s="19" t="n">
        <v>665.71</v>
      </c>
      <c r="I13" s="20" t="n">
        <v>7.21</v>
      </c>
      <c r="J13" s="18" t="n">
        <v>34</v>
      </c>
      <c r="K13" s="18" t="n">
        <v>10.36</v>
      </c>
      <c r="L13" s="18" t="n">
        <v>369.03</v>
      </c>
      <c r="M13" s="18" t="n">
        <v>19</v>
      </c>
      <c r="N13" s="18" t="n">
        <v>19.91</v>
      </c>
      <c r="O13" s="18" t="n">
        <v>49.27</v>
      </c>
      <c r="P13" s="19" t="n">
        <v>765.71</v>
      </c>
      <c r="Q13" s="20" t="n">
        <v>6.43</v>
      </c>
      <c r="R13" s="18" t="n">
        <v>38.44</v>
      </c>
      <c r="S13" s="18" t="n">
        <v>10.86</v>
      </c>
      <c r="T13" s="18" t="n">
        <v>389.74</v>
      </c>
      <c r="U13" s="18" t="n">
        <v>19.92</v>
      </c>
      <c r="V13" s="18" t="n">
        <v>19.91</v>
      </c>
      <c r="W13" s="18" t="n">
        <v>50.69</v>
      </c>
      <c r="X13" s="19" t="n">
        <v>865.71</v>
      </c>
      <c r="Y13" s="20" t="n">
        <v>5.86</v>
      </c>
    </row>
    <row r="14" ht="15" customHeight="1" s="59">
      <c r="A14" s="21" t="n">
        <v>2033</v>
      </c>
      <c r="B14" s="22" t="n">
        <v>29.22</v>
      </c>
      <c r="C14" s="22" t="n">
        <v>10.51</v>
      </c>
      <c r="D14" s="22" t="n">
        <v>369.14</v>
      </c>
      <c r="E14" s="22" t="n">
        <v>19.27</v>
      </c>
      <c r="F14" s="22" t="n">
        <v>20.45</v>
      </c>
      <c r="G14" s="22" t="n">
        <v>50.24</v>
      </c>
      <c r="H14" s="23" t="n">
        <v>703.5700000000001</v>
      </c>
      <c r="I14" s="24" t="n">
        <v>7.14</v>
      </c>
      <c r="J14" s="22" t="n">
        <v>34</v>
      </c>
      <c r="K14" s="22" t="n">
        <v>11.07</v>
      </c>
      <c r="L14" s="22" t="n">
        <v>391.96</v>
      </c>
      <c r="M14" s="22" t="n">
        <v>20.3</v>
      </c>
      <c r="N14" s="22" t="n">
        <v>20.45</v>
      </c>
      <c r="O14" s="22" t="n">
        <v>51.82</v>
      </c>
      <c r="P14" s="23" t="n">
        <v>818.5700000000001</v>
      </c>
      <c r="Q14" s="24" t="n">
        <v>6.33</v>
      </c>
      <c r="R14" s="22" t="n">
        <v>38.57</v>
      </c>
      <c r="S14" s="22" t="n">
        <v>11.69</v>
      </c>
      <c r="T14" s="22" t="n">
        <v>416.62</v>
      </c>
      <c r="U14" s="22" t="n">
        <v>21.44</v>
      </c>
      <c r="V14" s="22" t="n">
        <v>20.45</v>
      </c>
      <c r="W14" s="22" t="n">
        <v>53.58</v>
      </c>
      <c r="X14" s="23" t="n">
        <v>928.5700000000001</v>
      </c>
      <c r="Y14" s="24" t="n">
        <v>5.77</v>
      </c>
    </row>
    <row r="15" ht="15" customHeight="1" s="59">
      <c r="A15" s="17" t="n">
        <v>2034</v>
      </c>
      <c r="B15" s="18" t="n">
        <v>28.93</v>
      </c>
      <c r="C15" s="18" t="n">
        <v>11.07</v>
      </c>
      <c r="D15" s="18" t="n">
        <v>387</v>
      </c>
      <c r="E15" s="18" t="n">
        <v>20.3</v>
      </c>
      <c r="F15" s="18" t="n">
        <v>21</v>
      </c>
      <c r="G15" s="18" t="n">
        <v>52.38</v>
      </c>
      <c r="H15" s="19" t="n">
        <v>741.4299999999999</v>
      </c>
      <c r="I15" s="20" t="n">
        <v>7.06</v>
      </c>
      <c r="J15" s="18" t="n">
        <v>34</v>
      </c>
      <c r="K15" s="18" t="n">
        <v>11.76</v>
      </c>
      <c r="L15" s="18" t="n">
        <v>414.2</v>
      </c>
      <c r="M15" s="18" t="n">
        <v>21.56</v>
      </c>
      <c r="N15" s="18" t="n">
        <v>21</v>
      </c>
      <c r="O15" s="18" t="n">
        <v>54.32</v>
      </c>
      <c r="P15" s="19" t="n">
        <v>871.4299999999999</v>
      </c>
      <c r="Q15" s="20" t="n">
        <v>6.23</v>
      </c>
      <c r="R15" s="18" t="n">
        <v>38.68</v>
      </c>
      <c r="S15" s="18" t="n">
        <v>12.5</v>
      </c>
      <c r="T15" s="18" t="n">
        <v>442.8</v>
      </c>
      <c r="U15" s="18" t="n">
        <v>22.91</v>
      </c>
      <c r="V15" s="18" t="n">
        <v>21</v>
      </c>
      <c r="W15" s="18" t="n">
        <v>56.41</v>
      </c>
      <c r="X15" s="19" t="n">
        <v>991.4299999999999</v>
      </c>
      <c r="Y15" s="20" t="n">
        <v>5.69</v>
      </c>
    </row>
    <row r="16" ht="15" customHeight="1" s="59">
      <c r="A16" s="21" t="n">
        <v>2035</v>
      </c>
      <c r="B16" s="22" t="n">
        <v>28.67</v>
      </c>
      <c r="C16" s="22" t="n">
        <v>11.61</v>
      </c>
      <c r="D16" s="22" t="n">
        <v>404.05</v>
      </c>
      <c r="E16" s="22" t="n">
        <v>21.28</v>
      </c>
      <c r="F16" s="22" t="n">
        <v>21.55</v>
      </c>
      <c r="G16" s="22" t="n">
        <v>54.44</v>
      </c>
      <c r="H16" s="23" t="n">
        <v>779.29</v>
      </c>
      <c r="I16" s="24" t="n">
        <v>6.99</v>
      </c>
      <c r="J16" s="22" t="n">
        <v>34</v>
      </c>
      <c r="K16" s="22" t="n">
        <v>12.43</v>
      </c>
      <c r="L16" s="22" t="n">
        <v>435.78</v>
      </c>
      <c r="M16" s="22" t="n">
        <v>22.78</v>
      </c>
      <c r="N16" s="22" t="n">
        <v>21.55</v>
      </c>
      <c r="O16" s="22" t="n">
        <v>56.75</v>
      </c>
      <c r="P16" s="23" t="n">
        <v>924.29</v>
      </c>
      <c r="Q16" s="24" t="n">
        <v>6.14</v>
      </c>
      <c r="R16" s="22" t="n">
        <v>38.78</v>
      </c>
      <c r="S16" s="22" t="n">
        <v>13.28</v>
      </c>
      <c r="T16" s="22" t="n">
        <v>468.3</v>
      </c>
      <c r="U16" s="22" t="n">
        <v>24.35</v>
      </c>
      <c r="V16" s="22" t="n">
        <v>21.55</v>
      </c>
      <c r="W16" s="22" t="n">
        <v>59.18</v>
      </c>
      <c r="X16" s="23" t="n">
        <v>1054.29</v>
      </c>
      <c r="Y16" s="24" t="n">
        <v>5.61</v>
      </c>
    </row>
    <row r="17" ht="15" customHeight="1" s="59">
      <c r="A17" s="17" t="n">
        <v>2036</v>
      </c>
      <c r="B17" s="18" t="n">
        <v>28.43</v>
      </c>
      <c r="C17" s="18" t="n">
        <v>12.12</v>
      </c>
      <c r="D17" s="18" t="n">
        <v>420.36</v>
      </c>
      <c r="E17" s="18" t="n">
        <v>22.22</v>
      </c>
      <c r="F17" s="18" t="n">
        <v>22.09</v>
      </c>
      <c r="G17" s="18" t="n">
        <v>56.44</v>
      </c>
      <c r="H17" s="19" t="n">
        <v>817.14</v>
      </c>
      <c r="I17" s="20" t="n">
        <v>6.91</v>
      </c>
      <c r="J17" s="18" t="n">
        <v>34</v>
      </c>
      <c r="K17" s="18" t="n">
        <v>13.07</v>
      </c>
      <c r="L17" s="18" t="n">
        <v>456.7</v>
      </c>
      <c r="M17" s="18" t="n">
        <v>23.97</v>
      </c>
      <c r="N17" s="18" t="n">
        <v>22.09</v>
      </c>
      <c r="O17" s="18" t="n">
        <v>59.13</v>
      </c>
      <c r="P17" s="19" t="n">
        <v>977.14</v>
      </c>
      <c r="Q17" s="20" t="n">
        <v>6.05</v>
      </c>
      <c r="R17" s="18" t="n">
        <v>38.87</v>
      </c>
      <c r="S17" s="18" t="n">
        <v>14.05</v>
      </c>
      <c r="T17" s="18" t="n">
        <v>493.12</v>
      </c>
      <c r="U17" s="18" t="n">
        <v>25.76</v>
      </c>
      <c r="V17" s="18" t="n">
        <v>22.09</v>
      </c>
      <c r="W17" s="18" t="n">
        <v>61.9</v>
      </c>
      <c r="X17" s="19" t="n">
        <v>1117.14</v>
      </c>
      <c r="Y17" s="20" t="n">
        <v>5.54</v>
      </c>
    </row>
    <row r="18" ht="15" customHeight="1" s="59">
      <c r="A18" s="21" t="n">
        <v>2037</v>
      </c>
      <c r="B18" s="22" t="n">
        <v>28.22</v>
      </c>
      <c r="C18" s="22" t="n">
        <v>12.61</v>
      </c>
      <c r="D18" s="22" t="n">
        <v>435.98</v>
      </c>
      <c r="E18" s="22" t="n">
        <v>23.12</v>
      </c>
      <c r="F18" s="22" t="n">
        <v>22.64</v>
      </c>
      <c r="G18" s="22" t="n">
        <v>58.37</v>
      </c>
      <c r="H18" s="23" t="n">
        <v>855</v>
      </c>
      <c r="I18" s="24" t="n">
        <v>6.83</v>
      </c>
      <c r="J18" s="22" t="n">
        <v>34</v>
      </c>
      <c r="K18" s="22" t="n">
        <v>13.7</v>
      </c>
      <c r="L18" s="22" t="n">
        <v>477</v>
      </c>
      <c r="M18" s="22" t="n">
        <v>25.12</v>
      </c>
      <c r="N18" s="22" t="n">
        <v>22.64</v>
      </c>
      <c r="O18" s="22" t="n">
        <v>61.46</v>
      </c>
      <c r="P18" s="23" t="n">
        <v>1030</v>
      </c>
      <c r="Q18" s="24" t="n">
        <v>5.97</v>
      </c>
      <c r="R18" s="22" t="n">
        <v>38.95</v>
      </c>
      <c r="S18" s="22" t="n">
        <v>14.79</v>
      </c>
      <c r="T18" s="22" t="n">
        <v>517.28</v>
      </c>
      <c r="U18" s="22" t="n">
        <v>27.12</v>
      </c>
      <c r="V18" s="22" t="n">
        <v>22.64</v>
      </c>
      <c r="W18" s="22" t="n">
        <v>64.55</v>
      </c>
      <c r="X18" s="23" t="n">
        <v>1180</v>
      </c>
      <c r="Y18" s="24" t="n">
        <v>5.47</v>
      </c>
    </row>
    <row r="19" ht="15" customHeight="1" s="59">
      <c r="A19" s="17" t="n">
        <v>2038</v>
      </c>
      <c r="B19" s="18" t="n">
        <v>19.82</v>
      </c>
      <c r="C19" s="18" t="n">
        <v>13.08</v>
      </c>
      <c r="D19" s="18" t="n">
        <v>442.72</v>
      </c>
      <c r="E19" s="18" t="n">
        <v>23.98</v>
      </c>
      <c r="F19" s="18" t="n">
        <v>23.18</v>
      </c>
      <c r="G19" s="18" t="n">
        <v>60.24</v>
      </c>
      <c r="H19" s="19" t="n">
        <v>870</v>
      </c>
      <c r="I19" s="20" t="n">
        <v>6.92</v>
      </c>
      <c r="J19" s="18" t="n">
        <v>24</v>
      </c>
      <c r="K19" s="18" t="n">
        <v>14.31</v>
      </c>
      <c r="L19" s="18" t="n">
        <v>486.69</v>
      </c>
      <c r="M19" s="18" t="n">
        <v>26.24</v>
      </c>
      <c r="N19" s="18" t="n">
        <v>23.18</v>
      </c>
      <c r="O19" s="18" t="n">
        <v>63.73</v>
      </c>
      <c r="P19" s="19" t="n">
        <v>1053.33</v>
      </c>
      <c r="Q19" s="20" t="n">
        <v>6.05</v>
      </c>
      <c r="R19" s="18" t="n">
        <v>27.49</v>
      </c>
      <c r="S19" s="18" t="n">
        <v>15.52</v>
      </c>
      <c r="T19" s="18" t="n">
        <v>529.25</v>
      </c>
      <c r="U19" s="18" t="n">
        <v>28.45</v>
      </c>
      <c r="V19" s="18" t="n">
        <v>23.18</v>
      </c>
      <c r="W19" s="18" t="n">
        <v>67.15000000000001</v>
      </c>
      <c r="X19" s="19" t="n">
        <v>1206.67</v>
      </c>
      <c r="Y19" s="20" t="n">
        <v>5.56</v>
      </c>
    </row>
    <row r="20" ht="15" customHeight="1" s="59">
      <c r="A20" s="21" t="n">
        <v>2039</v>
      </c>
      <c r="B20" s="22" t="n">
        <v>19.73</v>
      </c>
      <c r="C20" s="22" t="n">
        <v>13.28</v>
      </c>
      <c r="D20" s="22" t="n">
        <v>449.17</v>
      </c>
      <c r="E20" s="22" t="n">
        <v>24.35</v>
      </c>
      <c r="F20" s="22" t="n">
        <v>23.73</v>
      </c>
      <c r="G20" s="22" t="n">
        <v>61.36</v>
      </c>
      <c r="H20" s="23" t="n">
        <v>885</v>
      </c>
      <c r="I20" s="24" t="n">
        <v>6.93</v>
      </c>
      <c r="J20" s="22" t="n">
        <v>24</v>
      </c>
      <c r="K20" s="22" t="n">
        <v>14.6</v>
      </c>
      <c r="L20" s="22" t="n">
        <v>496.09</v>
      </c>
      <c r="M20" s="22" t="n">
        <v>26.77</v>
      </c>
      <c r="N20" s="22" t="n">
        <v>23.73</v>
      </c>
      <c r="O20" s="22" t="n">
        <v>65.09999999999999</v>
      </c>
      <c r="P20" s="23" t="n">
        <v>1076.67</v>
      </c>
      <c r="Q20" s="24" t="n">
        <v>6.05</v>
      </c>
      <c r="R20" s="22" t="n">
        <v>27.49</v>
      </c>
      <c r="S20" s="22" t="n">
        <v>15.88</v>
      </c>
      <c r="T20" s="22" t="n">
        <v>540.87</v>
      </c>
      <c r="U20" s="22" t="n">
        <v>29.11</v>
      </c>
      <c r="V20" s="22" t="n">
        <v>23.73</v>
      </c>
      <c r="W20" s="22" t="n">
        <v>68.70999999999999</v>
      </c>
      <c r="X20" s="23" t="n">
        <v>1233.33</v>
      </c>
      <c r="Y20" s="24" t="n">
        <v>5.57</v>
      </c>
    </row>
    <row r="21" ht="15" customHeight="1" s="59">
      <c r="A21" s="25" t="n">
        <v>2040</v>
      </c>
      <c r="B21" s="26" t="n">
        <v>19.64</v>
      </c>
      <c r="C21" s="26" t="n">
        <v>13.47</v>
      </c>
      <c r="D21" s="26" t="n">
        <v>455.33</v>
      </c>
      <c r="E21" s="26" t="n">
        <v>24.7</v>
      </c>
      <c r="F21" s="26" t="n">
        <v>24.27</v>
      </c>
      <c r="G21" s="26" t="n">
        <v>62.45</v>
      </c>
      <c r="H21" s="27" t="n">
        <v>900</v>
      </c>
      <c r="I21" s="28" t="n">
        <v>6.94</v>
      </c>
      <c r="J21" s="29" t="n">
        <v>24</v>
      </c>
      <c r="K21" s="29" t="n">
        <v>14.88</v>
      </c>
      <c r="L21" s="29" t="n">
        <v>505.21</v>
      </c>
      <c r="M21" s="29" t="n">
        <v>27.29</v>
      </c>
      <c r="N21" s="29" t="n">
        <v>24.27</v>
      </c>
      <c r="O21" s="29" t="n">
        <v>66.44</v>
      </c>
      <c r="P21" s="30" t="n">
        <v>1100</v>
      </c>
      <c r="Q21" s="31" t="n">
        <v>6.04</v>
      </c>
      <c r="R21" s="32" t="n">
        <v>27.49</v>
      </c>
      <c r="S21" s="32" t="n">
        <v>16.23</v>
      </c>
      <c r="T21" s="32" t="n">
        <v>552.13</v>
      </c>
      <c r="U21" s="32" t="n">
        <v>29.75</v>
      </c>
      <c r="V21" s="32" t="n">
        <v>24.27</v>
      </c>
      <c r="W21" s="32" t="n">
        <v>70.25</v>
      </c>
      <c r="X21" s="33" t="n">
        <v>1260</v>
      </c>
      <c r="Y21" s="34" t="n">
        <v>5.58</v>
      </c>
    </row>
    <row r="22" ht="15" customHeight="1" s="59">
      <c r="A22" s="21" t="n">
        <v>2041</v>
      </c>
      <c r="B22" s="22" t="n">
        <v>19.65</v>
      </c>
      <c r="C22" s="22" t="n">
        <v>13.66</v>
      </c>
      <c r="D22" s="22" t="n">
        <v>461.31</v>
      </c>
      <c r="E22" s="22" t="n">
        <v>25.04</v>
      </c>
      <c r="F22" s="22" t="n">
        <v>24.82</v>
      </c>
      <c r="G22" s="22" t="n">
        <v>63.52</v>
      </c>
      <c r="H22" s="23" t="n">
        <v>913.4</v>
      </c>
      <c r="I22" s="24" t="n">
        <v>6.95</v>
      </c>
      <c r="J22" s="22" t="n">
        <v>24</v>
      </c>
      <c r="K22" s="22" t="n">
        <v>15.16</v>
      </c>
      <c r="L22" s="22" t="n">
        <v>514.05</v>
      </c>
      <c r="M22" s="22" t="n">
        <v>27.79</v>
      </c>
      <c r="N22" s="22" t="n">
        <v>24.82</v>
      </c>
      <c r="O22" s="22" t="n">
        <v>67.76000000000001</v>
      </c>
      <c r="P22" s="23" t="n">
        <v>1115.8</v>
      </c>
      <c r="Q22" s="24" t="n">
        <v>6.07</v>
      </c>
      <c r="R22" s="22" t="n">
        <v>27.49</v>
      </c>
      <c r="S22" s="22" t="n">
        <v>16.56</v>
      </c>
      <c r="T22" s="22" t="n">
        <v>563.0599999999999</v>
      </c>
      <c r="U22" s="22" t="n">
        <v>30.37</v>
      </c>
      <c r="V22" s="22" t="n">
        <v>24.82</v>
      </c>
      <c r="W22" s="22" t="n">
        <v>71.75</v>
      </c>
      <c r="X22" s="23" t="n">
        <v>1278.2</v>
      </c>
      <c r="Y22" s="24" t="n">
        <v>5.61</v>
      </c>
    </row>
    <row r="23" ht="15" customHeight="1" s="59">
      <c r="A23" s="17" t="n">
        <v>2042</v>
      </c>
      <c r="B23" s="18" t="n">
        <v>19.66</v>
      </c>
      <c r="C23" s="18" t="n">
        <v>13.84</v>
      </c>
      <c r="D23" s="18" t="n">
        <v>467.13</v>
      </c>
      <c r="E23" s="18" t="n">
        <v>25.37</v>
      </c>
      <c r="F23" s="18" t="n">
        <v>25.36</v>
      </c>
      <c r="G23" s="18" t="n">
        <v>64.58</v>
      </c>
      <c r="H23" s="19" t="n">
        <v>926.8</v>
      </c>
      <c r="I23" s="20" t="n">
        <v>6.97</v>
      </c>
      <c r="J23" s="18" t="n">
        <v>24</v>
      </c>
      <c r="K23" s="18" t="n">
        <v>15.42</v>
      </c>
      <c r="L23" s="18" t="n">
        <v>522.63</v>
      </c>
      <c r="M23" s="18" t="n">
        <v>28.27</v>
      </c>
      <c r="N23" s="18" t="n">
        <v>25.36</v>
      </c>
      <c r="O23" s="18" t="n">
        <v>69.06</v>
      </c>
      <c r="P23" s="19" t="n">
        <v>1131.6</v>
      </c>
      <c r="Q23" s="20" t="n">
        <v>6.1</v>
      </c>
      <c r="R23" s="18" t="n">
        <v>27.5</v>
      </c>
      <c r="S23" s="18" t="n">
        <v>16.89</v>
      </c>
      <c r="T23" s="18" t="n">
        <v>573.67</v>
      </c>
      <c r="U23" s="18" t="n">
        <v>30.97</v>
      </c>
      <c r="V23" s="18" t="n">
        <v>25.36</v>
      </c>
      <c r="W23" s="18" t="n">
        <v>73.22</v>
      </c>
      <c r="X23" s="19" t="n">
        <v>1296.4</v>
      </c>
      <c r="Y23" s="20" t="n">
        <v>5.65</v>
      </c>
    </row>
    <row r="24" ht="15" customHeight="1" s="59">
      <c r="A24" s="21" t="n">
        <v>2043</v>
      </c>
      <c r="B24" s="22" t="n">
        <v>19.67</v>
      </c>
      <c r="C24" s="22" t="n">
        <v>14.01</v>
      </c>
      <c r="D24" s="22" t="n">
        <v>472.78</v>
      </c>
      <c r="E24" s="22" t="n">
        <v>25.69</v>
      </c>
      <c r="F24" s="22" t="n">
        <v>25.91</v>
      </c>
      <c r="G24" s="22" t="n">
        <v>65.62</v>
      </c>
      <c r="H24" s="23" t="n">
        <v>940.2</v>
      </c>
      <c r="I24" s="24" t="n">
        <v>6.98</v>
      </c>
      <c r="J24" s="22" t="n">
        <v>24</v>
      </c>
      <c r="K24" s="22" t="n">
        <v>15.68</v>
      </c>
      <c r="L24" s="22" t="n">
        <v>530.95</v>
      </c>
      <c r="M24" s="22" t="n">
        <v>28.74</v>
      </c>
      <c r="N24" s="22" t="n">
        <v>25.91</v>
      </c>
      <c r="O24" s="22" t="n">
        <v>70.33</v>
      </c>
      <c r="P24" s="23" t="n">
        <v>1147.4</v>
      </c>
      <c r="Q24" s="24" t="n">
        <v>6.13</v>
      </c>
      <c r="R24" s="22" t="n">
        <v>27.5</v>
      </c>
      <c r="S24" s="22" t="n">
        <v>17.21</v>
      </c>
      <c r="T24" s="22" t="n">
        <v>583.95</v>
      </c>
      <c r="U24" s="22" t="n">
        <v>31.55</v>
      </c>
      <c r="V24" s="22" t="n">
        <v>25.91</v>
      </c>
      <c r="W24" s="22" t="n">
        <v>74.67</v>
      </c>
      <c r="X24" s="23" t="n">
        <v>1314.6</v>
      </c>
      <c r="Y24" s="24" t="n">
        <v>5.68</v>
      </c>
    </row>
    <row r="25" ht="15" customHeight="1" s="59">
      <c r="A25" s="17" t="n">
        <v>2044</v>
      </c>
      <c r="B25" s="18" t="n">
        <v>19.68</v>
      </c>
      <c r="C25" s="18" t="n">
        <v>14.18</v>
      </c>
      <c r="D25" s="18" t="n">
        <v>478.27</v>
      </c>
      <c r="E25" s="18" t="n">
        <v>26</v>
      </c>
      <c r="F25" s="18" t="n">
        <v>26.45</v>
      </c>
      <c r="G25" s="18" t="n">
        <v>66.64</v>
      </c>
      <c r="H25" s="19" t="n">
        <v>953.6</v>
      </c>
      <c r="I25" s="20" t="n">
        <v>6.99</v>
      </c>
      <c r="J25" s="18" t="n">
        <v>24</v>
      </c>
      <c r="K25" s="18" t="n">
        <v>15.93</v>
      </c>
      <c r="L25" s="18" t="n">
        <v>539.02</v>
      </c>
      <c r="M25" s="18" t="n">
        <v>29.2</v>
      </c>
      <c r="N25" s="18" t="n">
        <v>26.45</v>
      </c>
      <c r="O25" s="18" t="n">
        <v>71.59</v>
      </c>
      <c r="P25" s="19" t="n">
        <v>1163.2</v>
      </c>
      <c r="Q25" s="20" t="n">
        <v>6.15</v>
      </c>
      <c r="R25" s="18" t="n">
        <v>27.5</v>
      </c>
      <c r="S25" s="18" t="n">
        <v>17.52</v>
      </c>
      <c r="T25" s="18" t="n">
        <v>593.9299999999999</v>
      </c>
      <c r="U25" s="18" t="n">
        <v>32.12</v>
      </c>
      <c r="V25" s="18" t="n">
        <v>26.45</v>
      </c>
      <c r="W25" s="18" t="n">
        <v>76.09</v>
      </c>
      <c r="X25" s="19" t="n">
        <v>1332.8</v>
      </c>
      <c r="Y25" s="20" t="n">
        <v>5.71</v>
      </c>
    </row>
    <row r="26" ht="15" customHeight="1" s="59">
      <c r="A26" s="25" t="n">
        <v>2045</v>
      </c>
      <c r="B26" s="26" t="n">
        <v>19.68</v>
      </c>
      <c r="C26" s="26" t="n">
        <v>14.35</v>
      </c>
      <c r="D26" s="26" t="n">
        <v>483.61</v>
      </c>
      <c r="E26" s="26" t="n">
        <v>26.31</v>
      </c>
      <c r="F26" s="26" t="n">
        <v>27</v>
      </c>
      <c r="G26" s="26" t="n">
        <v>67.65000000000001</v>
      </c>
      <c r="H26" s="27" t="n">
        <v>967</v>
      </c>
      <c r="I26" s="28" t="n">
        <v>7</v>
      </c>
      <c r="J26" s="29" t="n">
        <v>24</v>
      </c>
      <c r="K26" s="29" t="n">
        <v>16.17</v>
      </c>
      <c r="L26" s="29" t="n">
        <v>546.85</v>
      </c>
      <c r="M26" s="29" t="n">
        <v>29.65</v>
      </c>
      <c r="N26" s="29" t="n">
        <v>27</v>
      </c>
      <c r="O26" s="29" t="n">
        <v>72.81999999999999</v>
      </c>
      <c r="P26" s="30" t="n">
        <v>1179</v>
      </c>
      <c r="Q26" s="31" t="n">
        <v>6.18</v>
      </c>
      <c r="R26" s="32" t="n">
        <v>27.5</v>
      </c>
      <c r="S26" s="32" t="n">
        <v>17.82</v>
      </c>
      <c r="T26" s="32" t="n">
        <v>603.62</v>
      </c>
      <c r="U26" s="32" t="n">
        <v>32.67</v>
      </c>
      <c r="V26" s="32" t="n">
        <v>27</v>
      </c>
      <c r="W26" s="32" t="n">
        <v>77.48</v>
      </c>
      <c r="X26" s="33" t="n">
        <v>1351</v>
      </c>
      <c r="Y26" s="34" t="n">
        <v>5.74</v>
      </c>
    </row>
    <row r="27" ht="15" customHeight="1" s="59">
      <c r="A27" s="17" t="n">
        <v>2046</v>
      </c>
      <c r="B27" s="18" t="n">
        <v>14.76</v>
      </c>
      <c r="C27" s="18" t="n">
        <v>14.51</v>
      </c>
      <c r="D27" s="18" t="n">
        <v>483.86</v>
      </c>
      <c r="E27" s="18" t="n">
        <v>26.6</v>
      </c>
      <c r="F27" s="18" t="n">
        <v>27</v>
      </c>
      <c r="G27" s="18" t="n">
        <v>68.11</v>
      </c>
      <c r="H27" s="19" t="n">
        <v>973.6</v>
      </c>
      <c r="I27" s="20" t="n">
        <v>7</v>
      </c>
      <c r="J27" s="18" t="n">
        <v>18</v>
      </c>
      <c r="K27" s="18" t="n">
        <v>16.41</v>
      </c>
      <c r="L27" s="18" t="n">
        <v>548.45</v>
      </c>
      <c r="M27" s="18" t="n">
        <v>30.08</v>
      </c>
      <c r="N27" s="18" t="n">
        <v>27</v>
      </c>
      <c r="O27" s="18" t="n">
        <v>73.48</v>
      </c>
      <c r="P27" s="19" t="n">
        <v>1187.2</v>
      </c>
      <c r="Q27" s="20" t="n">
        <v>6.19</v>
      </c>
      <c r="R27" s="18" t="n">
        <v>20.63</v>
      </c>
      <c r="S27" s="18" t="n">
        <v>18.11</v>
      </c>
      <c r="T27" s="18" t="n">
        <v>606.14</v>
      </c>
      <c r="U27" s="18" t="n">
        <v>33.2</v>
      </c>
      <c r="V27" s="18" t="n">
        <v>27</v>
      </c>
      <c r="W27" s="18" t="n">
        <v>78.31</v>
      </c>
      <c r="X27" s="19" t="n">
        <v>1360.8</v>
      </c>
      <c r="Y27" s="20" t="n">
        <v>5.75</v>
      </c>
    </row>
    <row r="28" ht="15" customHeight="1" s="59">
      <c r="A28" s="21" t="n">
        <v>2047</v>
      </c>
      <c r="B28" s="22" t="n">
        <v>14.76</v>
      </c>
      <c r="C28" s="22" t="n">
        <v>14.52</v>
      </c>
      <c r="D28" s="22" t="n">
        <v>484.11</v>
      </c>
      <c r="E28" s="22" t="n">
        <v>26.61</v>
      </c>
      <c r="F28" s="22" t="n">
        <v>27</v>
      </c>
      <c r="G28" s="22" t="n">
        <v>68.13</v>
      </c>
      <c r="H28" s="23" t="n">
        <v>980.2</v>
      </c>
      <c r="I28" s="24" t="n">
        <v>6.95</v>
      </c>
      <c r="J28" s="22" t="n">
        <v>18</v>
      </c>
      <c r="K28" s="22" t="n">
        <v>16.45</v>
      </c>
      <c r="L28" s="22" t="n">
        <v>549.99</v>
      </c>
      <c r="M28" s="22" t="n">
        <v>30.16</v>
      </c>
      <c r="N28" s="22" t="n">
        <v>27</v>
      </c>
      <c r="O28" s="22" t="n">
        <v>73.62</v>
      </c>
      <c r="P28" s="23" t="n">
        <v>1195.4</v>
      </c>
      <c r="Q28" s="24" t="n">
        <v>6.16</v>
      </c>
      <c r="R28" s="22" t="n">
        <v>20.64</v>
      </c>
      <c r="S28" s="22" t="n">
        <v>18.18</v>
      </c>
      <c r="T28" s="22" t="n">
        <v>608.59</v>
      </c>
      <c r="U28" s="22" t="n">
        <v>33.34</v>
      </c>
      <c r="V28" s="22" t="n">
        <v>27</v>
      </c>
      <c r="W28" s="22" t="n">
        <v>78.52</v>
      </c>
      <c r="X28" s="23" t="n">
        <v>1370.6</v>
      </c>
      <c r="Y28" s="24" t="n">
        <v>5.73</v>
      </c>
    </row>
    <row r="29" ht="15" customHeight="1" s="59">
      <c r="A29" s="17" t="n">
        <v>2048</v>
      </c>
      <c r="B29" s="18" t="n">
        <v>14.76</v>
      </c>
      <c r="C29" s="18" t="n">
        <v>14.52</v>
      </c>
      <c r="D29" s="18" t="n">
        <v>484.34</v>
      </c>
      <c r="E29" s="18" t="n">
        <v>26.63</v>
      </c>
      <c r="F29" s="18" t="n">
        <v>27</v>
      </c>
      <c r="G29" s="18" t="n">
        <v>68.15000000000001</v>
      </c>
      <c r="H29" s="19" t="n">
        <v>986.8</v>
      </c>
      <c r="I29" s="20" t="n">
        <v>6.91</v>
      </c>
      <c r="J29" s="18" t="n">
        <v>18</v>
      </c>
      <c r="K29" s="18" t="n">
        <v>16.5</v>
      </c>
      <c r="L29" s="18" t="n">
        <v>551.49</v>
      </c>
      <c r="M29" s="18" t="n">
        <v>30.25</v>
      </c>
      <c r="N29" s="18" t="n">
        <v>27</v>
      </c>
      <c r="O29" s="18" t="n">
        <v>73.75</v>
      </c>
      <c r="P29" s="19" t="n">
        <v>1203.6</v>
      </c>
      <c r="Q29" s="20" t="n">
        <v>6.13</v>
      </c>
      <c r="R29" s="18" t="n">
        <v>20.64</v>
      </c>
      <c r="S29" s="18" t="n">
        <v>18.26</v>
      </c>
      <c r="T29" s="18" t="n">
        <v>610.98</v>
      </c>
      <c r="U29" s="18" t="n">
        <v>33.47</v>
      </c>
      <c r="V29" s="18" t="n">
        <v>27</v>
      </c>
      <c r="W29" s="18" t="n">
        <v>78.73</v>
      </c>
      <c r="X29" s="19" t="n">
        <v>1380.4</v>
      </c>
      <c r="Y29" s="20" t="n">
        <v>5.7</v>
      </c>
    </row>
    <row r="30" ht="15" customHeight="1" s="59">
      <c r="A30" s="21" t="n">
        <v>2049</v>
      </c>
      <c r="B30" s="22" t="n">
        <v>14.76</v>
      </c>
      <c r="C30" s="22" t="n">
        <v>14.53</v>
      </c>
      <c r="D30" s="22" t="n">
        <v>484.57</v>
      </c>
      <c r="E30" s="22" t="n">
        <v>26.64</v>
      </c>
      <c r="F30" s="22" t="n">
        <v>27</v>
      </c>
      <c r="G30" s="22" t="n">
        <v>68.17</v>
      </c>
      <c r="H30" s="23" t="n">
        <v>993.4</v>
      </c>
      <c r="I30" s="24" t="n">
        <v>6.86</v>
      </c>
      <c r="J30" s="22" t="n">
        <v>18</v>
      </c>
      <c r="K30" s="22" t="n">
        <v>16.54</v>
      </c>
      <c r="L30" s="22" t="n">
        <v>552.95</v>
      </c>
      <c r="M30" s="22" t="n">
        <v>30.33</v>
      </c>
      <c r="N30" s="22" t="n">
        <v>27</v>
      </c>
      <c r="O30" s="22" t="n">
        <v>73.88</v>
      </c>
      <c r="P30" s="23" t="n">
        <v>1211.8</v>
      </c>
      <c r="Q30" s="24" t="n">
        <v>6.1</v>
      </c>
      <c r="R30" s="22" t="n">
        <v>20.65</v>
      </c>
      <c r="S30" s="22" t="n">
        <v>18.33</v>
      </c>
      <c r="T30" s="22" t="n">
        <v>613.3</v>
      </c>
      <c r="U30" s="22" t="n">
        <v>33.6</v>
      </c>
      <c r="V30" s="22" t="n">
        <v>27</v>
      </c>
      <c r="W30" s="22" t="n">
        <v>78.93000000000001</v>
      </c>
      <c r="X30" s="23" t="n">
        <v>1390.2</v>
      </c>
      <c r="Y30" s="24" t="n">
        <v>5.68</v>
      </c>
    </row>
    <row r="31" ht="15" customHeight="1" s="59">
      <c r="A31" s="25" t="n">
        <v>2050</v>
      </c>
      <c r="B31" s="26" t="n">
        <v>14.75</v>
      </c>
      <c r="C31" s="26" t="n">
        <v>14.54</v>
      </c>
      <c r="D31" s="26" t="n">
        <v>484.78</v>
      </c>
      <c r="E31" s="26" t="n">
        <v>26.65</v>
      </c>
      <c r="F31" s="26" t="n">
        <v>27</v>
      </c>
      <c r="G31" s="26" t="n">
        <v>68.19</v>
      </c>
      <c r="H31" s="27" t="n">
        <v>1000</v>
      </c>
      <c r="I31" s="28" t="n">
        <v>6.82</v>
      </c>
      <c r="J31" s="29" t="n">
        <v>18</v>
      </c>
      <c r="K31" s="29" t="n">
        <v>16.59</v>
      </c>
      <c r="L31" s="29" t="n">
        <v>554.36</v>
      </c>
      <c r="M31" s="29" t="n">
        <v>30.41</v>
      </c>
      <c r="N31" s="29" t="n">
        <v>27</v>
      </c>
      <c r="O31" s="29" t="n">
        <v>74</v>
      </c>
      <c r="P31" s="30" t="n">
        <v>1220</v>
      </c>
      <c r="Q31" s="31" t="n">
        <v>6.07</v>
      </c>
      <c r="R31" s="32" t="n">
        <v>20.66</v>
      </c>
      <c r="S31" s="32" t="n">
        <v>18.4</v>
      </c>
      <c r="T31" s="32" t="n">
        <v>615.5599999999999</v>
      </c>
      <c r="U31" s="32" t="n">
        <v>33.73</v>
      </c>
      <c r="V31" s="32" t="n">
        <v>27</v>
      </c>
      <c r="W31" s="32" t="n">
        <v>79.13</v>
      </c>
      <c r="X31" s="33" t="n">
        <v>1400</v>
      </c>
      <c r="Y31" s="34" t="n">
        <v>5.65</v>
      </c>
    </row>
  </sheetData>
  <mergeCells count="4">
    <mergeCell ref="R2:Y2"/>
    <mergeCell ref="J2:Q2"/>
    <mergeCell ref="B2:I2"/>
    <mergeCell ref="A1:Y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4BACC6"/>
    <outlinePr summaryBelow="1" summaryRight="1"/>
    <pageSetUpPr/>
  </sheetPr>
  <dimension ref="A1:AC25"/>
  <sheetViews>
    <sheetView showGridLines="0" tabSelected="1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S15" sqref="S15"/>
    </sheetView>
  </sheetViews>
  <sheetFormatPr baseColWidth="8" defaultRowHeight="15"/>
  <cols>
    <col width="30" customWidth="1" style="59" min="1" max="1"/>
    <col width="7.42578125" customWidth="1" style="59" min="2" max="3"/>
    <col width="10.42578125" customWidth="1" style="59" min="4" max="4"/>
    <col width="16.42578125" customWidth="1" style="59" min="5" max="5"/>
    <col width="7.42578125" customWidth="1" style="59" min="6" max="8"/>
    <col width="13.28515625" customWidth="1" style="59" min="9" max="9"/>
    <col width="7.42578125" customWidth="1" style="59" min="10" max="16"/>
    <col width="13.42578125" customWidth="1" style="59" min="17" max="17"/>
    <col width="11.7109375" customWidth="1" style="59" min="18" max="18"/>
    <col width="13.140625" customWidth="1" style="59" min="19" max="19"/>
    <col width="7.42578125" customWidth="1" style="59" min="20" max="23"/>
    <col width="10.140625" bestFit="1" customWidth="1" style="59" min="24" max="24"/>
    <col width="7.42578125" customWidth="1" style="59" min="25" max="28"/>
    <col width="10.140625" bestFit="1" customWidth="1" style="59" min="29" max="29"/>
    <col width="7.42578125" customWidth="1" style="59" min="30" max="30"/>
  </cols>
  <sheetData>
    <row r="1" ht="24" customHeight="1" s="59">
      <c r="A1" s="61" t="inlineStr">
        <is>
          <t>German Industrial Network Tariffs  |  EUR/kWh  |  Real 2023 EUR  |  ★ Yellow = 2023–2025 historical benchmark  |  Demand: NEP 2037/2045 Version 2025 draft</t>
        </is>
      </c>
    </row>
    <row r="2" ht="16.15" customHeight="1" s="59">
      <c r="A2" s="9" t="n"/>
      <c r="B2" s="13" t="n">
        <v>2023</v>
      </c>
      <c r="C2" s="13" t="n">
        <v>2024</v>
      </c>
      <c r="D2" s="13" t="n">
        <v>2025</v>
      </c>
      <c r="E2" s="35" t="n">
        <v>2026</v>
      </c>
      <c r="F2" s="35" t="n">
        <v>2027</v>
      </c>
      <c r="G2" s="35" t="n">
        <v>2028</v>
      </c>
      <c r="H2" s="35" t="n">
        <v>2029</v>
      </c>
      <c r="I2" s="36" t="n">
        <v>2030</v>
      </c>
      <c r="J2" s="35" t="n">
        <v>2031</v>
      </c>
      <c r="K2" s="35" t="n">
        <v>2032</v>
      </c>
      <c r="L2" s="35" t="n">
        <v>2033</v>
      </c>
      <c r="M2" s="35" t="n">
        <v>2034</v>
      </c>
      <c r="N2" s="35" t="n">
        <v>2035</v>
      </c>
      <c r="O2" s="35" t="n">
        <v>2036</v>
      </c>
      <c r="P2" s="35" t="n">
        <v>2037</v>
      </c>
      <c r="Q2" s="35" t="n">
        <v>2038</v>
      </c>
      <c r="R2" s="35" t="n">
        <v>2039</v>
      </c>
      <c r="S2" s="36" t="n">
        <v>2040</v>
      </c>
      <c r="T2" s="35" t="n">
        <v>2041</v>
      </c>
      <c r="U2" s="35" t="n">
        <v>2042</v>
      </c>
      <c r="V2" s="35" t="n">
        <v>2043</v>
      </c>
      <c r="W2" s="35" t="n">
        <v>2044</v>
      </c>
      <c r="X2" s="36" t="n">
        <v>2045</v>
      </c>
      <c r="Y2" s="35" t="n">
        <v>2046</v>
      </c>
      <c r="Z2" s="35" t="n">
        <v>2047</v>
      </c>
      <c r="AA2" s="35" t="n">
        <v>2048</v>
      </c>
      <c r="AB2" s="35" t="n">
        <v>2049</v>
      </c>
      <c r="AC2" s="36" t="n">
        <v>2050</v>
      </c>
    </row>
    <row r="3" ht="19.9" customHeight="1" s="59">
      <c r="A3" s="58" t="inlineStr">
        <is>
          <t xml:space="preserve">  Scenario A — Low  —  Demand 2045: 967 TWh (Brutto, NEP 2037/2045 V2025)</t>
        </is>
      </c>
      <c r="B3" s="78" t="n"/>
      <c r="C3" s="78" t="n"/>
      <c r="D3" s="78" t="n"/>
      <c r="E3" s="78" t="n"/>
      <c r="F3" s="78" t="n"/>
      <c r="G3" s="78" t="n"/>
      <c r="H3" s="78" t="n"/>
      <c r="I3" s="78" t="n"/>
      <c r="J3" s="78" t="n"/>
      <c r="K3" s="78" t="n"/>
      <c r="L3" s="78" t="n"/>
      <c r="M3" s="78" t="n"/>
      <c r="N3" s="78" t="n"/>
      <c r="O3" s="78" t="n"/>
      <c r="P3" s="78" t="n"/>
      <c r="Q3" s="78" t="n"/>
      <c r="R3" s="78" t="n"/>
      <c r="S3" s="78" t="n"/>
      <c r="T3" s="78" t="n"/>
      <c r="U3" s="78" t="n"/>
      <c r="V3" s="78" t="n"/>
      <c r="W3" s="78" t="n"/>
      <c r="X3" s="78" t="n"/>
      <c r="Y3" s="78" t="n"/>
      <c r="Z3" s="78" t="n"/>
      <c r="AA3" s="78" t="n"/>
      <c r="AB3" s="78" t="n"/>
      <c r="AC3" s="79" t="n"/>
    </row>
    <row r="4" ht="15" customHeight="1" s="59">
      <c r="A4" s="37" t="inlineStr">
        <is>
          <t xml:space="preserve">  System average (ct/kWh)</t>
        </is>
      </c>
      <c r="B4" s="16" t="n">
        <v>5.87</v>
      </c>
      <c r="C4" s="16" t="n">
        <v>6.07</v>
      </c>
      <c r="D4" s="16" t="n">
        <v>6.3</v>
      </c>
      <c r="E4" s="38" t="n">
        <v>6.41</v>
      </c>
      <c r="F4" s="38" t="n">
        <v>6.57</v>
      </c>
      <c r="G4" s="38" t="n">
        <v>6.72</v>
      </c>
      <c r="H4" s="38" t="n">
        <v>7.15</v>
      </c>
      <c r="I4" s="38" t="n">
        <v>7.34</v>
      </c>
      <c r="J4" s="38" t="n">
        <v>7.28</v>
      </c>
      <c r="K4" s="38" t="n">
        <v>7.21</v>
      </c>
      <c r="L4" s="38" t="n">
        <v>7.14</v>
      </c>
      <c r="M4" s="38" t="n">
        <v>7.06</v>
      </c>
      <c r="N4" s="38" t="n">
        <v>6.99</v>
      </c>
      <c r="O4" s="38" t="n">
        <v>6.91</v>
      </c>
      <c r="P4" s="38" t="n">
        <v>6.83</v>
      </c>
      <c r="Q4" s="38" t="n">
        <v>6.92</v>
      </c>
      <c r="R4" s="38" t="n">
        <v>6.93</v>
      </c>
      <c r="S4" s="38" t="n">
        <v>6.94</v>
      </c>
      <c r="T4" s="38" t="n">
        <v>6.95</v>
      </c>
      <c r="U4" s="38" t="n">
        <v>6.97</v>
      </c>
      <c r="V4" s="38" t="n">
        <v>6.98</v>
      </c>
      <c r="W4" s="38" t="n">
        <v>6.99</v>
      </c>
      <c r="X4" s="38" t="n">
        <v>7</v>
      </c>
      <c r="Y4" s="38" t="n">
        <v>7</v>
      </c>
      <c r="Z4" s="38" t="n">
        <v>6.95</v>
      </c>
      <c r="AA4" s="38" t="n">
        <v>6.91</v>
      </c>
      <c r="AB4" s="38" t="n">
        <v>6.86</v>
      </c>
      <c r="AC4" s="38" t="n">
        <v>6.82</v>
      </c>
    </row>
    <row r="5" ht="13.9" customHeight="1" s="59">
      <c r="A5" s="39" t="inlineStr">
        <is>
          <t xml:space="preserve">    IG  &gt;150 GWh  HöS</t>
        </is>
      </c>
      <c r="B5" s="40" t="n">
        <v>0.0129</v>
      </c>
      <c r="C5" s="40" t="n">
        <v>0.0134</v>
      </c>
      <c r="D5" s="40" t="n">
        <v>0.0139</v>
      </c>
      <c r="E5" s="41" t="n">
        <v>0.0141</v>
      </c>
      <c r="F5" s="41" t="n">
        <v>0.0145</v>
      </c>
      <c r="G5" s="41" t="n">
        <v>0.0148</v>
      </c>
      <c r="H5" s="41" t="n">
        <v>0.0157</v>
      </c>
      <c r="I5" s="42" t="n">
        <v>0.0162</v>
      </c>
      <c r="J5" s="41" t="n">
        <v>0.016</v>
      </c>
      <c r="K5" s="41" t="n">
        <v>0.0159</v>
      </c>
      <c r="L5" s="41" t="n">
        <v>0.0157</v>
      </c>
      <c r="M5" s="41" t="n">
        <v>0.0155</v>
      </c>
      <c r="N5" s="41" t="n">
        <v>0.0154</v>
      </c>
      <c r="O5" s="41" t="n">
        <v>0.0152</v>
      </c>
      <c r="P5" s="41" t="n">
        <v>0.015</v>
      </c>
      <c r="Q5" s="41" t="n">
        <v>0.0152</v>
      </c>
      <c r="R5" s="41" t="n">
        <v>0.0153</v>
      </c>
      <c r="S5" s="42" t="n">
        <v>0.0153</v>
      </c>
      <c r="T5" s="41" t="n">
        <v>0.0153</v>
      </c>
      <c r="U5" s="41" t="n">
        <v>0.0153</v>
      </c>
      <c r="V5" s="41" t="n">
        <v>0.0154</v>
      </c>
      <c r="W5" s="41" t="n">
        <v>0.0154</v>
      </c>
      <c r="X5" s="42" t="n">
        <v>0.0154</v>
      </c>
      <c r="Y5" s="41" t="n">
        <v>0.0154</v>
      </c>
      <c r="Z5" s="41" t="n">
        <v>0.0153</v>
      </c>
      <c r="AA5" s="41" t="n">
        <v>0.0152</v>
      </c>
      <c r="AB5" s="41" t="n">
        <v>0.0151</v>
      </c>
      <c r="AC5" s="42" t="n">
        <v>0.015</v>
      </c>
    </row>
    <row r="6" ht="13.9" customHeight="1" s="59">
      <c r="A6" s="39" t="inlineStr">
        <is>
          <t xml:space="preserve">    IF  70–150 GWh  HS/HöS</t>
        </is>
      </c>
      <c r="B6" s="40" t="n">
        <v>0.0235</v>
      </c>
      <c r="C6" s="40" t="n">
        <v>0.0243</v>
      </c>
      <c r="D6" s="40" t="n">
        <v>0.0252</v>
      </c>
      <c r="E6" s="41" t="n">
        <v>0.0256</v>
      </c>
      <c r="F6" s="41" t="n">
        <v>0.0263</v>
      </c>
      <c r="G6" s="41" t="n">
        <v>0.0269</v>
      </c>
      <c r="H6" s="41" t="n">
        <v>0.0286</v>
      </c>
      <c r="I6" s="42" t="n">
        <v>0.0294</v>
      </c>
      <c r="J6" s="41" t="n">
        <v>0.0291</v>
      </c>
      <c r="K6" s="41" t="n">
        <v>0.0289</v>
      </c>
      <c r="L6" s="41" t="n">
        <v>0.0286</v>
      </c>
      <c r="M6" s="41" t="n">
        <v>0.0283</v>
      </c>
      <c r="N6" s="41" t="n">
        <v>0.0279</v>
      </c>
      <c r="O6" s="41" t="n">
        <v>0.0276</v>
      </c>
      <c r="P6" s="41" t="n">
        <v>0.0273</v>
      </c>
      <c r="Q6" s="41" t="n">
        <v>0.0277</v>
      </c>
      <c r="R6" s="41" t="n">
        <v>0.0277</v>
      </c>
      <c r="S6" s="42" t="n">
        <v>0.0278</v>
      </c>
      <c r="T6" s="41" t="n">
        <v>0.0278</v>
      </c>
      <c r="U6" s="41" t="n">
        <v>0.0279</v>
      </c>
      <c r="V6" s="41" t="n">
        <v>0.0279</v>
      </c>
      <c r="W6" s="41" t="n">
        <v>0.028</v>
      </c>
      <c r="X6" s="42" t="n">
        <v>0.028</v>
      </c>
      <c r="Y6" s="41" t="n">
        <v>0.028</v>
      </c>
      <c r="Z6" s="41" t="n">
        <v>0.0278</v>
      </c>
      <c r="AA6" s="41" t="n">
        <v>0.0276</v>
      </c>
      <c r="AB6" s="41" t="n">
        <v>0.0274</v>
      </c>
      <c r="AC6" s="42" t="n">
        <v>0.0273</v>
      </c>
    </row>
    <row r="7" ht="13.9" customHeight="1" s="59">
      <c r="A7" s="39" t="inlineStr">
        <is>
          <t xml:space="preserve">    IE  20–70 GWh  HS</t>
        </is>
      </c>
      <c r="B7" s="40" t="n">
        <v>0.037</v>
      </c>
      <c r="C7" s="40" t="n">
        <v>0.0382</v>
      </c>
      <c r="D7" s="40" t="n">
        <v>0.0397</v>
      </c>
      <c r="E7" s="41" t="n">
        <v>0.0404</v>
      </c>
      <c r="F7" s="41" t="n">
        <v>0.0414</v>
      </c>
      <c r="G7" s="41" t="n">
        <v>0.0423</v>
      </c>
      <c r="H7" s="41" t="n">
        <v>0.045</v>
      </c>
      <c r="I7" s="42" t="n">
        <v>0.0463</v>
      </c>
      <c r="J7" s="41" t="n">
        <v>0.0459</v>
      </c>
      <c r="K7" s="41" t="n">
        <v>0.0455</v>
      </c>
      <c r="L7" s="41" t="n">
        <v>0.045</v>
      </c>
      <c r="M7" s="41" t="n">
        <v>0.0445</v>
      </c>
      <c r="N7" s="41" t="n">
        <v>0.044</v>
      </c>
      <c r="O7" s="41" t="n">
        <v>0.0435</v>
      </c>
      <c r="P7" s="41" t="n">
        <v>0.043</v>
      </c>
      <c r="Q7" s="41" t="n">
        <v>0.0436</v>
      </c>
      <c r="R7" s="41" t="n">
        <v>0.0437</v>
      </c>
      <c r="S7" s="42" t="n">
        <v>0.0437</v>
      </c>
      <c r="T7" s="41" t="n">
        <v>0.0438</v>
      </c>
      <c r="U7" s="41" t="n">
        <v>0.0439</v>
      </c>
      <c r="V7" s="41" t="n">
        <v>0.044</v>
      </c>
      <c r="W7" s="41" t="n">
        <v>0.044</v>
      </c>
      <c r="X7" s="42" t="n">
        <v>0.0441</v>
      </c>
      <c r="Y7" s="41" t="n">
        <v>0.0441</v>
      </c>
      <c r="Z7" s="41" t="n">
        <v>0.0438</v>
      </c>
      <c r="AA7" s="41" t="n">
        <v>0.0435</v>
      </c>
      <c r="AB7" s="41" t="n">
        <v>0.0432</v>
      </c>
      <c r="AC7" s="42" t="n">
        <v>0.043</v>
      </c>
    </row>
    <row r="8" ht="13.9" customHeight="1" s="59">
      <c r="A8" s="39" t="inlineStr">
        <is>
          <t xml:space="preserve">    ID  2–20 GWh  MS</t>
        </is>
      </c>
      <c r="B8" s="40" t="n">
        <v>0.0546</v>
      </c>
      <c r="C8" s="40" t="n">
        <v>0.0564</v>
      </c>
      <c r="D8" s="40" t="n">
        <v>0.0586</v>
      </c>
      <c r="E8" s="41" t="n">
        <v>0.0596</v>
      </c>
      <c r="F8" s="41" t="n">
        <v>0.0611</v>
      </c>
      <c r="G8" s="41" t="n">
        <v>0.0625</v>
      </c>
      <c r="H8" s="41" t="n">
        <v>0.0665</v>
      </c>
      <c r="I8" s="42" t="n">
        <v>0.0683</v>
      </c>
      <c r="J8" s="41" t="n">
        <v>0.0677</v>
      </c>
      <c r="K8" s="41" t="n">
        <v>0.06710000000000001</v>
      </c>
      <c r="L8" s="41" t="n">
        <v>0.0664</v>
      </c>
      <c r="M8" s="41" t="n">
        <v>0.06569999999999999</v>
      </c>
      <c r="N8" s="41" t="n">
        <v>0.065</v>
      </c>
      <c r="O8" s="41" t="n">
        <v>0.06419999999999999</v>
      </c>
      <c r="P8" s="41" t="n">
        <v>0.0635</v>
      </c>
      <c r="Q8" s="41" t="n">
        <v>0.0644</v>
      </c>
      <c r="R8" s="41" t="n">
        <v>0.0645</v>
      </c>
      <c r="S8" s="42" t="n">
        <v>0.0645</v>
      </c>
      <c r="T8" s="41" t="n">
        <v>0.06469999999999999</v>
      </c>
      <c r="U8" s="41" t="n">
        <v>0.0648</v>
      </c>
      <c r="V8" s="41" t="n">
        <v>0.0649</v>
      </c>
      <c r="W8" s="41" t="n">
        <v>0.065</v>
      </c>
      <c r="X8" s="42" t="n">
        <v>0.06510000000000001</v>
      </c>
      <c r="Y8" s="41" t="n">
        <v>0.06510000000000001</v>
      </c>
      <c r="Z8" s="41" t="n">
        <v>0.0646</v>
      </c>
      <c r="AA8" s="41" t="n">
        <v>0.06419999999999999</v>
      </c>
      <c r="AB8" s="41" t="n">
        <v>0.0638</v>
      </c>
      <c r="AC8" s="42" t="n">
        <v>0.0634</v>
      </c>
    </row>
    <row r="9" ht="13.9" customHeight="1" s="59">
      <c r="A9" s="39" t="inlineStr">
        <is>
          <t xml:space="preserve">    IC  0.5–2 GWh  NS</t>
        </is>
      </c>
      <c r="B9" s="40" t="n">
        <v>0.0764</v>
      </c>
      <c r="C9" s="40" t="n">
        <v>0.0789</v>
      </c>
      <c r="D9" s="40" t="n">
        <v>0.0819</v>
      </c>
      <c r="E9" s="41" t="n">
        <v>0.0833</v>
      </c>
      <c r="F9" s="41" t="n">
        <v>0.08550000000000001</v>
      </c>
      <c r="G9" s="41" t="n">
        <v>0.0873</v>
      </c>
      <c r="H9" s="41" t="n">
        <v>0.0929</v>
      </c>
      <c r="I9" s="42" t="n">
        <v>0.0955</v>
      </c>
      <c r="J9" s="41" t="n">
        <v>0.09470000000000001</v>
      </c>
      <c r="K9" s="41" t="n">
        <v>0.09379999999999999</v>
      </c>
      <c r="L9" s="41" t="n">
        <v>0.09279999999999999</v>
      </c>
      <c r="M9" s="41" t="n">
        <v>0.09180000000000001</v>
      </c>
      <c r="N9" s="41" t="n">
        <v>0.09080000000000001</v>
      </c>
      <c r="O9" s="41" t="n">
        <v>0.0898</v>
      </c>
      <c r="P9" s="41" t="n">
        <v>0.0887</v>
      </c>
      <c r="Q9" s="41" t="n">
        <v>0.09</v>
      </c>
      <c r="R9" s="41" t="n">
        <v>0.0901</v>
      </c>
      <c r="S9" s="42" t="n">
        <v>0.0902</v>
      </c>
      <c r="T9" s="41" t="n">
        <v>0.09039999999999999</v>
      </c>
      <c r="U9" s="41" t="n">
        <v>0.0906</v>
      </c>
      <c r="V9" s="41" t="n">
        <v>0.0907</v>
      </c>
      <c r="W9" s="41" t="n">
        <v>0.09080000000000001</v>
      </c>
      <c r="X9" s="42" t="n">
        <v>0.091</v>
      </c>
      <c r="Y9" s="41" t="n">
        <v>0.09089999999999999</v>
      </c>
      <c r="Z9" s="41" t="n">
        <v>0.09039999999999999</v>
      </c>
      <c r="AA9" s="41" t="n">
        <v>0.0898</v>
      </c>
      <c r="AB9" s="41" t="n">
        <v>0.0892</v>
      </c>
      <c r="AC9" s="42" t="n">
        <v>0.0886</v>
      </c>
    </row>
    <row r="10" ht="4.9" customHeight="1" s="59"/>
    <row r="11" ht="19.9" customHeight="1" s="59">
      <c r="A11" s="60" t="inlineStr">
        <is>
          <t xml:space="preserve">  Scenario B — Base  —  Demand 2045: 1,179 TWh (Brutto, NEP 2037/2045 V2025)</t>
        </is>
      </c>
      <c r="B11" s="78" t="n"/>
      <c r="C11" s="78" t="n"/>
      <c r="D11" s="78" t="n"/>
      <c r="E11" s="78" t="n"/>
      <c r="F11" s="78" t="n"/>
      <c r="G11" s="78" t="n"/>
      <c r="H11" s="78" t="n"/>
      <c r="I11" s="78" t="n"/>
      <c r="J11" s="78" t="n"/>
      <c r="K11" s="78" t="n"/>
      <c r="L11" s="78" t="n"/>
      <c r="M11" s="78" t="n"/>
      <c r="N11" s="78" t="n"/>
      <c r="O11" s="78" t="n"/>
      <c r="P11" s="78" t="n"/>
      <c r="Q11" s="78" t="n"/>
      <c r="R11" s="78" t="n"/>
      <c r="S11" s="78" t="n"/>
      <c r="T11" s="78" t="n"/>
      <c r="U11" s="78" t="n"/>
      <c r="V11" s="78" t="n"/>
      <c r="W11" s="78" t="n"/>
      <c r="X11" s="78" t="n"/>
      <c r="Y11" s="78" t="n"/>
      <c r="Z11" s="78" t="n"/>
      <c r="AA11" s="78" t="n"/>
      <c r="AB11" s="78" t="n"/>
      <c r="AC11" s="79" t="n"/>
    </row>
    <row r="12" ht="15" customHeight="1" s="59">
      <c r="A12" s="37" t="inlineStr">
        <is>
          <t xml:space="preserve">  System average (ct/kWh)</t>
        </is>
      </c>
      <c r="B12" s="16" t="n">
        <v>5.87</v>
      </c>
      <c r="C12" s="16" t="n">
        <v>6.01</v>
      </c>
      <c r="D12" s="16" t="n">
        <v>6.18</v>
      </c>
      <c r="E12" s="38" t="n">
        <v>6.16</v>
      </c>
      <c r="F12" s="38" t="n">
        <v>6.21</v>
      </c>
      <c r="G12" s="38" t="n">
        <v>6.24</v>
      </c>
      <c r="H12" s="38" t="n">
        <v>6.56</v>
      </c>
      <c r="I12" s="38" t="n">
        <v>6.66</v>
      </c>
      <c r="J12" s="38" t="n">
        <v>6.54</v>
      </c>
      <c r="K12" s="38" t="n">
        <v>6.43</v>
      </c>
      <c r="L12" s="38" t="n">
        <v>6.33</v>
      </c>
      <c r="M12" s="38" t="n">
        <v>6.23</v>
      </c>
      <c r="N12" s="38" t="n">
        <v>6.14</v>
      </c>
      <c r="O12" s="38" t="n">
        <v>6.05</v>
      </c>
      <c r="P12" s="38" t="n">
        <v>5.97</v>
      </c>
      <c r="Q12" s="38" t="n">
        <v>6.05</v>
      </c>
      <c r="R12" s="38" t="n">
        <v>6.05</v>
      </c>
      <c r="S12" s="38" t="n">
        <v>6.04</v>
      </c>
      <c r="T12" s="38" t="n">
        <v>6.07</v>
      </c>
      <c r="U12" s="38" t="n">
        <v>6.1</v>
      </c>
      <c r="V12" s="38" t="n">
        <v>6.13</v>
      </c>
      <c r="W12" s="38" t="n">
        <v>6.15</v>
      </c>
      <c r="X12" s="38" t="n">
        <v>6.18</v>
      </c>
      <c r="Y12" s="38" t="n">
        <v>6.19</v>
      </c>
      <c r="Z12" s="38" t="n">
        <v>6.16</v>
      </c>
      <c r="AA12" s="38" t="n">
        <v>6.13</v>
      </c>
      <c r="AB12" s="38" t="n">
        <v>6.1</v>
      </c>
      <c r="AC12" s="38" t="n">
        <v>6.07</v>
      </c>
    </row>
    <row r="13" ht="13.9" customHeight="1" s="59">
      <c r="A13" s="39" t="inlineStr">
        <is>
          <t xml:space="preserve">    IG  &gt;150 GWh  HöS</t>
        </is>
      </c>
      <c r="B13" s="40" t="n">
        <v>0.0129</v>
      </c>
      <c r="C13" s="40" t="n">
        <v>0.0132</v>
      </c>
      <c r="D13" s="40" t="n">
        <v>0.0136</v>
      </c>
      <c r="E13" s="41" t="n">
        <v>0.0136</v>
      </c>
      <c r="F13" s="41" t="n">
        <v>0.0137</v>
      </c>
      <c r="G13" s="41" t="n">
        <v>0.0137</v>
      </c>
      <c r="H13" s="41" t="n">
        <v>0.0144</v>
      </c>
      <c r="I13" s="43" t="n">
        <v>0.0147</v>
      </c>
      <c r="J13" s="41" t="n">
        <v>0.0144</v>
      </c>
      <c r="K13" s="41" t="n">
        <v>0.0142</v>
      </c>
      <c r="L13" s="41" t="n">
        <v>0.0139</v>
      </c>
      <c r="M13" s="41" t="n">
        <v>0.0137</v>
      </c>
      <c r="N13" s="41" t="n">
        <v>0.0135</v>
      </c>
      <c r="O13" s="41" t="n">
        <v>0.0133</v>
      </c>
      <c r="P13" s="41" t="n">
        <v>0.0131</v>
      </c>
      <c r="Q13" s="41" t="n">
        <v>0.0133</v>
      </c>
      <c r="R13" s="41" t="n">
        <v>0.0133</v>
      </c>
      <c r="S13" s="43" t="n">
        <v>0.0133</v>
      </c>
      <c r="T13" s="41" t="n">
        <v>0.0134</v>
      </c>
      <c r="U13" s="41" t="n">
        <v>0.0134</v>
      </c>
      <c r="V13" s="41" t="n">
        <v>0.0135</v>
      </c>
      <c r="W13" s="41" t="n">
        <v>0.0135</v>
      </c>
      <c r="X13" s="43" t="n">
        <v>0.0136</v>
      </c>
      <c r="Y13" s="41" t="n">
        <v>0.0136</v>
      </c>
      <c r="Z13" s="41" t="n">
        <v>0.0135</v>
      </c>
      <c r="AA13" s="41" t="n">
        <v>0.0135</v>
      </c>
      <c r="AB13" s="41" t="n">
        <v>0.0134</v>
      </c>
      <c r="AC13" s="43" t="n">
        <v>0.0133</v>
      </c>
    </row>
    <row r="14" ht="13.9" customHeight="1" s="59">
      <c r="A14" s="39" t="inlineStr">
        <is>
          <t xml:space="preserve">    IF  70–150 GWh  HS/HöS</t>
        </is>
      </c>
      <c r="B14" s="40" t="n">
        <v>0.0235</v>
      </c>
      <c r="C14" s="40" t="n">
        <v>0.024</v>
      </c>
      <c r="D14" s="40" t="n">
        <v>0.0247</v>
      </c>
      <c r="E14" s="41" t="n">
        <v>0.0247</v>
      </c>
      <c r="F14" s="41" t="n">
        <v>0.0248</v>
      </c>
      <c r="G14" s="41" t="n">
        <v>0.025</v>
      </c>
      <c r="H14" s="41" t="n">
        <v>0.0262</v>
      </c>
      <c r="I14" s="43" t="n">
        <v>0.0266</v>
      </c>
      <c r="J14" s="41" t="n">
        <v>0.0262</v>
      </c>
      <c r="K14" s="41" t="n">
        <v>0.0257</v>
      </c>
      <c r="L14" s="41" t="n">
        <v>0.0253</v>
      </c>
      <c r="M14" s="41" t="n">
        <v>0.0249</v>
      </c>
      <c r="N14" s="41" t="n">
        <v>0.0246</v>
      </c>
      <c r="O14" s="41" t="n">
        <v>0.0242</v>
      </c>
      <c r="P14" s="41" t="n">
        <v>0.0239</v>
      </c>
      <c r="Q14" s="41" t="n">
        <v>0.0242</v>
      </c>
      <c r="R14" s="41" t="n">
        <v>0.0242</v>
      </c>
      <c r="S14" s="43" t="n">
        <v>0.0242</v>
      </c>
      <c r="T14" s="41" t="n">
        <v>0.0243</v>
      </c>
      <c r="U14" s="41" t="n">
        <v>0.0244</v>
      </c>
      <c r="V14" s="41" t="n">
        <v>0.0245</v>
      </c>
      <c r="W14" s="41" t="n">
        <v>0.0246</v>
      </c>
      <c r="X14" s="43" t="n">
        <v>0.0247</v>
      </c>
      <c r="Y14" s="41" t="n">
        <v>0.0248</v>
      </c>
      <c r="Z14" s="41" t="n">
        <v>0.0246</v>
      </c>
      <c r="AA14" s="41" t="n">
        <v>0.0245</v>
      </c>
      <c r="AB14" s="41" t="n">
        <v>0.0244</v>
      </c>
      <c r="AC14" s="43" t="n">
        <v>0.0243</v>
      </c>
    </row>
    <row r="15" ht="13.9" customHeight="1" s="59">
      <c r="A15" s="39" t="inlineStr">
        <is>
          <t xml:space="preserve">    IE  20–70 GWh  HS</t>
        </is>
      </c>
      <c r="B15" s="40" t="n">
        <v>0.037</v>
      </c>
      <c r="C15" s="40" t="n">
        <v>0.0379</v>
      </c>
      <c r="D15" s="40" t="n">
        <v>0.039</v>
      </c>
      <c r="E15" s="41" t="n">
        <v>0.0388</v>
      </c>
      <c r="F15" s="41" t="n">
        <v>0.0391</v>
      </c>
      <c r="G15" s="41" t="n">
        <v>0.0393</v>
      </c>
      <c r="H15" s="41" t="n">
        <v>0.0413</v>
      </c>
      <c r="I15" s="43" t="n">
        <v>0.042</v>
      </c>
      <c r="J15" s="41" t="n">
        <v>0.0412</v>
      </c>
      <c r="K15" s="41" t="n">
        <v>0.0405</v>
      </c>
      <c r="L15" s="41" t="n">
        <v>0.0399</v>
      </c>
      <c r="M15" s="41" t="n">
        <v>0.0393</v>
      </c>
      <c r="N15" s="41" t="n">
        <v>0.0387</v>
      </c>
      <c r="O15" s="41" t="n">
        <v>0.0381</v>
      </c>
      <c r="P15" s="41" t="n">
        <v>0.0376</v>
      </c>
      <c r="Q15" s="41" t="n">
        <v>0.0381</v>
      </c>
      <c r="R15" s="41" t="n">
        <v>0.0381</v>
      </c>
      <c r="S15" s="43" t="n">
        <v>0.0381</v>
      </c>
      <c r="T15" s="41" t="n">
        <v>0.0383</v>
      </c>
      <c r="U15" s="41" t="n">
        <v>0.0384</v>
      </c>
      <c r="V15" s="41" t="n">
        <v>0.0386</v>
      </c>
      <c r="W15" s="41" t="n">
        <v>0.0388</v>
      </c>
      <c r="X15" s="43" t="n">
        <v>0.0389</v>
      </c>
      <c r="Y15" s="41" t="n">
        <v>0.039</v>
      </c>
      <c r="Z15" s="41" t="n">
        <v>0.0388</v>
      </c>
      <c r="AA15" s="41" t="n">
        <v>0.0386</v>
      </c>
      <c r="AB15" s="41" t="n">
        <v>0.0384</v>
      </c>
      <c r="AC15" s="43" t="n">
        <v>0.0382</v>
      </c>
    </row>
    <row r="16" ht="13.9" customHeight="1" s="59">
      <c r="A16" s="39" t="inlineStr">
        <is>
          <t xml:space="preserve">    ID  2–20 GWh  MS</t>
        </is>
      </c>
      <c r="B16" s="40" t="n">
        <v>0.0546</v>
      </c>
      <c r="C16" s="40" t="n">
        <v>0.0559</v>
      </c>
      <c r="D16" s="40" t="n">
        <v>0.0575</v>
      </c>
      <c r="E16" s="41" t="n">
        <v>0.0573</v>
      </c>
      <c r="F16" s="41" t="n">
        <v>0.0577</v>
      </c>
      <c r="G16" s="41" t="n">
        <v>0.0581</v>
      </c>
      <c r="H16" s="41" t="n">
        <v>0.061</v>
      </c>
      <c r="I16" s="43" t="n">
        <v>0.062</v>
      </c>
      <c r="J16" s="41" t="n">
        <v>0.0609</v>
      </c>
      <c r="K16" s="41" t="n">
        <v>0.0598</v>
      </c>
      <c r="L16" s="41" t="n">
        <v>0.0589</v>
      </c>
      <c r="M16" s="41" t="n">
        <v>0.058</v>
      </c>
      <c r="N16" s="41" t="n">
        <v>0.0571</v>
      </c>
      <c r="O16" s="41" t="n">
        <v>0.0563</v>
      </c>
      <c r="P16" s="41" t="n">
        <v>0.0555</v>
      </c>
      <c r="Q16" s="41" t="n">
        <v>0.0563</v>
      </c>
      <c r="R16" s="41" t="n">
        <v>0.0562</v>
      </c>
      <c r="S16" s="43" t="n">
        <v>0.0562</v>
      </c>
      <c r="T16" s="41" t="n">
        <v>0.0565</v>
      </c>
      <c r="U16" s="41" t="n">
        <v>0.0568</v>
      </c>
      <c r="V16" s="41" t="n">
        <v>0.057</v>
      </c>
      <c r="W16" s="41" t="n">
        <v>0.0572</v>
      </c>
      <c r="X16" s="43" t="n">
        <v>0.0574</v>
      </c>
      <c r="Y16" s="41" t="n">
        <v>0.0576</v>
      </c>
      <c r="Z16" s="41" t="n">
        <v>0.0573</v>
      </c>
      <c r="AA16" s="41" t="n">
        <v>0.057</v>
      </c>
      <c r="AB16" s="41" t="n">
        <v>0.0567</v>
      </c>
      <c r="AC16" s="43" t="n">
        <v>0.0564</v>
      </c>
    </row>
    <row r="17" ht="13.9" customHeight="1" s="59">
      <c r="A17" s="39" t="inlineStr">
        <is>
          <t xml:space="preserve">    IC  0.5–2 GWh  NS</t>
        </is>
      </c>
      <c r="B17" s="40" t="n">
        <v>0.0764</v>
      </c>
      <c r="C17" s="40" t="n">
        <v>0.0781</v>
      </c>
      <c r="D17" s="40" t="n">
        <v>0.0804</v>
      </c>
      <c r="E17" s="41" t="n">
        <v>0.0801</v>
      </c>
      <c r="F17" s="41" t="n">
        <v>0.08069999999999999</v>
      </c>
      <c r="G17" s="41" t="n">
        <v>0.08119999999999999</v>
      </c>
      <c r="H17" s="41" t="n">
        <v>0.0852</v>
      </c>
      <c r="I17" s="43" t="n">
        <v>0.0866</v>
      </c>
      <c r="J17" s="41" t="n">
        <v>0.0851</v>
      </c>
      <c r="K17" s="41" t="n">
        <v>0.08359999999999999</v>
      </c>
      <c r="L17" s="41" t="n">
        <v>0.0823</v>
      </c>
      <c r="M17" s="41" t="n">
        <v>0.081</v>
      </c>
      <c r="N17" s="41" t="n">
        <v>0.0798</v>
      </c>
      <c r="O17" s="41" t="n">
        <v>0.07870000000000001</v>
      </c>
      <c r="P17" s="41" t="n">
        <v>0.0776</v>
      </c>
      <c r="Q17" s="41" t="n">
        <v>0.07870000000000001</v>
      </c>
      <c r="R17" s="41" t="n">
        <v>0.0786</v>
      </c>
      <c r="S17" s="43" t="n">
        <v>0.0785</v>
      </c>
      <c r="T17" s="41" t="n">
        <v>0.0789</v>
      </c>
      <c r="U17" s="41" t="n">
        <v>0.0793</v>
      </c>
      <c r="V17" s="41" t="n">
        <v>0.07969999999999999</v>
      </c>
      <c r="W17" s="41" t="n">
        <v>0.08</v>
      </c>
      <c r="X17" s="43" t="n">
        <v>0.0803</v>
      </c>
      <c r="Y17" s="41" t="n">
        <v>0.0805</v>
      </c>
      <c r="Z17" s="41" t="n">
        <v>0.0801</v>
      </c>
      <c r="AA17" s="41" t="n">
        <v>0.07969999999999999</v>
      </c>
      <c r="AB17" s="41" t="n">
        <v>0.0793</v>
      </c>
      <c r="AC17" s="43" t="n">
        <v>0.0789</v>
      </c>
    </row>
    <row r="18" ht="4.9" customHeight="1" s="59"/>
    <row r="19" ht="19.9" customHeight="1" s="59">
      <c r="A19" s="62" t="inlineStr">
        <is>
          <t xml:space="preserve">  Scenario C — High  —  Demand 2045: 1,351 TWh (Brutto, NEP 2037/2045 V2025)</t>
        </is>
      </c>
      <c r="B19" s="78" t="n"/>
      <c r="C19" s="78" t="n"/>
      <c r="D19" s="78" t="n"/>
      <c r="E19" s="78" t="n"/>
      <c r="F19" s="78" t="n"/>
      <c r="G19" s="78" t="n"/>
      <c r="H19" s="78" t="n"/>
      <c r="I19" s="78" t="n"/>
      <c r="J19" s="78" t="n"/>
      <c r="K19" s="78" t="n"/>
      <c r="L19" s="78" t="n"/>
      <c r="M19" s="78" t="n"/>
      <c r="N19" s="78" t="n"/>
      <c r="O19" s="78" t="n"/>
      <c r="P19" s="78" t="n"/>
      <c r="Q19" s="78" t="n"/>
      <c r="R19" s="78" t="n"/>
      <c r="S19" s="78" t="n"/>
      <c r="T19" s="78" t="n"/>
      <c r="U19" s="78" t="n"/>
      <c r="V19" s="78" t="n"/>
      <c r="W19" s="78" t="n"/>
      <c r="X19" s="78" t="n"/>
      <c r="Y19" s="78" t="n"/>
      <c r="Z19" s="78" t="n"/>
      <c r="AA19" s="78" t="n"/>
      <c r="AB19" s="78" t="n"/>
      <c r="AC19" s="79" t="n"/>
    </row>
    <row r="20" ht="15" customHeight="1" s="59">
      <c r="A20" s="37" t="inlineStr">
        <is>
          <t xml:space="preserve">  System average (ct/kWh)</t>
        </is>
      </c>
      <c r="B20" s="16" t="n">
        <v>5.87</v>
      </c>
      <c r="C20" s="16" t="n">
        <v>5.93</v>
      </c>
      <c r="D20" s="16" t="n">
        <v>6.02</v>
      </c>
      <c r="E20" s="38" t="n">
        <v>5.88</v>
      </c>
      <c r="F20" s="38" t="n">
        <v>5.82</v>
      </c>
      <c r="G20" s="38" t="n">
        <v>5.78</v>
      </c>
      <c r="H20" s="38" t="n">
        <v>6</v>
      </c>
      <c r="I20" s="38" t="n">
        <v>6.05</v>
      </c>
      <c r="J20" s="38" t="n">
        <v>5.95</v>
      </c>
      <c r="K20" s="38" t="n">
        <v>5.86</v>
      </c>
      <c r="L20" s="38" t="n">
        <v>5.77</v>
      </c>
      <c r="M20" s="38" t="n">
        <v>5.69</v>
      </c>
      <c r="N20" s="38" t="n">
        <v>5.61</v>
      </c>
      <c r="O20" s="38" t="n">
        <v>5.54</v>
      </c>
      <c r="P20" s="38" t="n">
        <v>5.47</v>
      </c>
      <c r="Q20" s="38" t="n">
        <v>5.56</v>
      </c>
      <c r="R20" s="38" t="n">
        <v>5.57</v>
      </c>
      <c r="S20" s="38" t="n">
        <v>5.58</v>
      </c>
      <c r="T20" s="38" t="n">
        <v>5.61</v>
      </c>
      <c r="U20" s="38" t="n">
        <v>5.65</v>
      </c>
      <c r="V20" s="38" t="n">
        <v>5.68</v>
      </c>
      <c r="W20" s="38" t="n">
        <v>5.71</v>
      </c>
      <c r="X20" s="38" t="n">
        <v>5.74</v>
      </c>
      <c r="Y20" s="38" t="n">
        <v>5.75</v>
      </c>
      <c r="Z20" s="38" t="n">
        <v>5.73</v>
      </c>
      <c r="AA20" s="38" t="n">
        <v>5.7</v>
      </c>
      <c r="AB20" s="38" t="n">
        <v>5.68</v>
      </c>
      <c r="AC20" s="38" t="n">
        <v>5.65</v>
      </c>
    </row>
    <row r="21" ht="13.9" customHeight="1" s="59">
      <c r="A21" s="39" t="inlineStr">
        <is>
          <t xml:space="preserve">    IG  &gt;150 GWh  HöS</t>
        </is>
      </c>
      <c r="B21" s="40" t="n">
        <v>0.0129</v>
      </c>
      <c r="C21" s="40" t="n">
        <v>0.013</v>
      </c>
      <c r="D21" s="40" t="n">
        <v>0.0132</v>
      </c>
      <c r="E21" s="41" t="n">
        <v>0.0129</v>
      </c>
      <c r="F21" s="41" t="n">
        <v>0.0128</v>
      </c>
      <c r="G21" s="41" t="n">
        <v>0.0127</v>
      </c>
      <c r="H21" s="41" t="n">
        <v>0.0132</v>
      </c>
      <c r="I21" s="44" t="n">
        <v>0.0133</v>
      </c>
      <c r="J21" s="41" t="n">
        <v>0.0131</v>
      </c>
      <c r="K21" s="41" t="n">
        <v>0.0129</v>
      </c>
      <c r="L21" s="41" t="n">
        <v>0.0127</v>
      </c>
      <c r="M21" s="41" t="n">
        <v>0.0125</v>
      </c>
      <c r="N21" s="41" t="n">
        <v>0.0123</v>
      </c>
      <c r="O21" s="41" t="n">
        <v>0.0122</v>
      </c>
      <c r="P21" s="41" t="n">
        <v>0.012</v>
      </c>
      <c r="Q21" s="41" t="n">
        <v>0.0122</v>
      </c>
      <c r="R21" s="41" t="n">
        <v>0.0123</v>
      </c>
      <c r="S21" s="44" t="n">
        <v>0.0123</v>
      </c>
      <c r="T21" s="41" t="n">
        <v>0.0123</v>
      </c>
      <c r="U21" s="41" t="n">
        <v>0.0124</v>
      </c>
      <c r="V21" s="41" t="n">
        <v>0.0125</v>
      </c>
      <c r="W21" s="41" t="n">
        <v>0.0126</v>
      </c>
      <c r="X21" s="44" t="n">
        <v>0.0126</v>
      </c>
      <c r="Y21" s="41" t="n">
        <v>0.0127</v>
      </c>
      <c r="Z21" s="41" t="n">
        <v>0.0126</v>
      </c>
      <c r="AA21" s="41" t="n">
        <v>0.0125</v>
      </c>
      <c r="AB21" s="41" t="n">
        <v>0.0125</v>
      </c>
      <c r="AC21" s="44" t="n">
        <v>0.0124</v>
      </c>
    </row>
    <row r="22" ht="13.9" customHeight="1" s="59">
      <c r="A22" s="39" t="inlineStr">
        <is>
          <t xml:space="preserve">    IF  70–150 GWh  HS/HöS</t>
        </is>
      </c>
      <c r="B22" s="40" t="n">
        <v>0.0235</v>
      </c>
      <c r="C22" s="40" t="n">
        <v>0.0237</v>
      </c>
      <c r="D22" s="40" t="n">
        <v>0.0241</v>
      </c>
      <c r="E22" s="41" t="n">
        <v>0.0235</v>
      </c>
      <c r="F22" s="41" t="n">
        <v>0.0233</v>
      </c>
      <c r="G22" s="41" t="n">
        <v>0.0231</v>
      </c>
      <c r="H22" s="41" t="n">
        <v>0.024</v>
      </c>
      <c r="I22" s="44" t="n">
        <v>0.0242</v>
      </c>
      <c r="J22" s="41" t="n">
        <v>0.0238</v>
      </c>
      <c r="K22" s="41" t="n">
        <v>0.0234</v>
      </c>
      <c r="L22" s="41" t="n">
        <v>0.0231</v>
      </c>
      <c r="M22" s="41" t="n">
        <v>0.0228</v>
      </c>
      <c r="N22" s="41" t="n">
        <v>0.0225</v>
      </c>
      <c r="O22" s="41" t="n">
        <v>0.0222</v>
      </c>
      <c r="P22" s="41" t="n">
        <v>0.0219</v>
      </c>
      <c r="Q22" s="41" t="n">
        <v>0.0223</v>
      </c>
      <c r="R22" s="41" t="n">
        <v>0.0223</v>
      </c>
      <c r="S22" s="44" t="n">
        <v>0.0223</v>
      </c>
      <c r="T22" s="41" t="n">
        <v>0.0225</v>
      </c>
      <c r="U22" s="41" t="n">
        <v>0.0226</v>
      </c>
      <c r="V22" s="41" t="n">
        <v>0.0227</v>
      </c>
      <c r="W22" s="41" t="n">
        <v>0.0228</v>
      </c>
      <c r="X22" s="44" t="n">
        <v>0.0229</v>
      </c>
      <c r="Y22" s="41" t="n">
        <v>0.023</v>
      </c>
      <c r="Z22" s="41" t="n">
        <v>0.0229</v>
      </c>
      <c r="AA22" s="41" t="n">
        <v>0.0228</v>
      </c>
      <c r="AB22" s="41" t="n">
        <v>0.0227</v>
      </c>
      <c r="AC22" s="44" t="n">
        <v>0.0226</v>
      </c>
    </row>
    <row r="23" ht="13.9" customHeight="1" s="59">
      <c r="A23" s="39" t="inlineStr">
        <is>
          <t xml:space="preserve">    IE  20–70 GWh  HS</t>
        </is>
      </c>
      <c r="B23" s="40" t="n">
        <v>0.037</v>
      </c>
      <c r="C23" s="40" t="n">
        <v>0.0373</v>
      </c>
      <c r="D23" s="40" t="n">
        <v>0.0379</v>
      </c>
      <c r="E23" s="41" t="n">
        <v>0.0379</v>
      </c>
      <c r="F23" s="41" t="n">
        <v>0.0367</v>
      </c>
      <c r="G23" s="41" t="n">
        <v>0.0364</v>
      </c>
      <c r="H23" s="41" t="n">
        <v>0.0378</v>
      </c>
      <c r="I23" s="44" t="n">
        <v>0.0381</v>
      </c>
      <c r="J23" s="41" t="n">
        <v>0.0375</v>
      </c>
      <c r="K23" s="41" t="n">
        <v>0.0369</v>
      </c>
      <c r="L23" s="41" t="n">
        <v>0.0364</v>
      </c>
      <c r="M23" s="41" t="n">
        <v>0.0358</v>
      </c>
      <c r="N23" s="41" t="n">
        <v>0.0354</v>
      </c>
      <c r="O23" s="41" t="n">
        <v>0.0349</v>
      </c>
      <c r="P23" s="41" t="n">
        <v>0.0345</v>
      </c>
      <c r="Q23" s="41" t="n">
        <v>0.0351</v>
      </c>
      <c r="R23" s="41" t="n">
        <v>0.0351</v>
      </c>
      <c r="S23" s="44" t="n">
        <v>0.0351</v>
      </c>
      <c r="T23" s="41" t="n">
        <v>0.0354</v>
      </c>
      <c r="U23" s="41" t="n">
        <v>0.0356</v>
      </c>
      <c r="V23" s="41" t="n">
        <v>0.0358</v>
      </c>
      <c r="W23" s="41" t="n">
        <v>0.036</v>
      </c>
      <c r="X23" s="44" t="n">
        <v>0.0361</v>
      </c>
      <c r="Y23" s="41" t="n">
        <v>0.0363</v>
      </c>
      <c r="Z23" s="41" t="n">
        <v>0.0361</v>
      </c>
      <c r="AA23" s="41" t="n">
        <v>0.0359</v>
      </c>
      <c r="AB23" s="41" t="n">
        <v>0.0358</v>
      </c>
      <c r="AC23" s="44" t="n">
        <v>0.0356</v>
      </c>
    </row>
    <row r="24" ht="13.9" customHeight="1" s="59">
      <c r="A24" s="39" t="inlineStr">
        <is>
          <t xml:space="preserve">    ID  2–20 GWh  MS</t>
        </is>
      </c>
      <c r="B24" s="40" t="n">
        <v>0.0546</v>
      </c>
      <c r="C24" s="40" t="n">
        <v>0.0551</v>
      </c>
      <c r="D24" s="40" t="n">
        <v>0.056</v>
      </c>
      <c r="E24" s="41" t="n">
        <v>0.0547</v>
      </c>
      <c r="F24" s="41" t="n">
        <v>0.0542</v>
      </c>
      <c r="G24" s="41" t="n">
        <v>0.0537</v>
      </c>
      <c r="H24" s="41" t="n">
        <v>0.0558</v>
      </c>
      <c r="I24" s="44" t="n">
        <v>0.0562</v>
      </c>
      <c r="J24" s="41" t="n">
        <v>0.0553</v>
      </c>
      <c r="K24" s="41" t="n">
        <v>0.0545</v>
      </c>
      <c r="L24" s="41" t="n">
        <v>0.0537</v>
      </c>
      <c r="M24" s="41" t="n">
        <v>0.0529</v>
      </c>
      <c r="N24" s="41" t="n">
        <v>0.0522</v>
      </c>
      <c r="O24" s="41" t="n">
        <v>0.0515</v>
      </c>
      <c r="P24" s="41" t="n">
        <v>0.0509</v>
      </c>
      <c r="Q24" s="41" t="n">
        <v>0.0518</v>
      </c>
      <c r="R24" s="41" t="n">
        <v>0.0518</v>
      </c>
      <c r="S24" s="44" t="n">
        <v>0.0518</v>
      </c>
      <c r="T24" s="41" t="n">
        <v>0.0522</v>
      </c>
      <c r="U24" s="41" t="n">
        <v>0.0525</v>
      </c>
      <c r="V24" s="41" t="n">
        <v>0.0528</v>
      </c>
      <c r="W24" s="41" t="n">
        <v>0.0531</v>
      </c>
      <c r="X24" s="44" t="n">
        <v>0.0533</v>
      </c>
      <c r="Y24" s="41" t="n">
        <v>0.0535</v>
      </c>
      <c r="Z24" s="41" t="n">
        <v>0.0533</v>
      </c>
      <c r="AA24" s="41" t="n">
        <v>0.053</v>
      </c>
      <c r="AB24" s="41" t="n">
        <v>0.0528</v>
      </c>
      <c r="AC24" s="44" t="n">
        <v>0.0526</v>
      </c>
    </row>
    <row r="25" ht="13.9" customHeight="1" s="59">
      <c r="A25" s="39" t="inlineStr">
        <is>
          <t xml:space="preserve">    IC  0.5–2 GWh  NS</t>
        </is>
      </c>
      <c r="B25" s="40" t="n">
        <v>0.0764</v>
      </c>
      <c r="C25" s="40" t="n">
        <v>0.077</v>
      </c>
      <c r="D25" s="40" t="n">
        <v>0.07820000000000001</v>
      </c>
      <c r="E25" s="41" t="n">
        <v>0.0764</v>
      </c>
      <c r="F25" s="41" t="n">
        <v>0.0757</v>
      </c>
      <c r="G25" s="41" t="n">
        <v>0.0751</v>
      </c>
      <c r="H25" s="41" t="n">
        <v>0.078</v>
      </c>
      <c r="I25" s="44" t="n">
        <v>0.0786</v>
      </c>
      <c r="J25" s="41" t="n">
        <v>0.07729999999999999</v>
      </c>
      <c r="K25" s="41" t="n">
        <v>0.0761</v>
      </c>
      <c r="L25" s="41" t="n">
        <v>0.075</v>
      </c>
      <c r="M25" s="41" t="n">
        <v>0.074</v>
      </c>
      <c r="N25" s="41" t="n">
        <v>0.073</v>
      </c>
      <c r="O25" s="41" t="n">
        <v>0.07199999999999999</v>
      </c>
      <c r="P25" s="41" t="n">
        <v>0.0711</v>
      </c>
      <c r="Q25" s="41" t="n">
        <v>0.0723</v>
      </c>
      <c r="R25" s="41" t="n">
        <v>0.07240000000000001</v>
      </c>
      <c r="S25" s="44" t="n">
        <v>0.0725</v>
      </c>
      <c r="T25" s="41" t="n">
        <v>0.073</v>
      </c>
      <c r="U25" s="41" t="n">
        <v>0.07340000000000001</v>
      </c>
      <c r="V25" s="41" t="n">
        <v>0.0738</v>
      </c>
      <c r="W25" s="41" t="n">
        <v>0.0742</v>
      </c>
      <c r="X25" s="44" t="n">
        <v>0.0746</v>
      </c>
      <c r="Y25" s="41" t="n">
        <v>0.07480000000000001</v>
      </c>
      <c r="Z25" s="41" t="n">
        <v>0.0745</v>
      </c>
      <c r="AA25" s="41" t="n">
        <v>0.0741</v>
      </c>
      <c r="AB25" s="41" t="n">
        <v>0.0738</v>
      </c>
      <c r="AC25" s="44" t="n">
        <v>0.0735</v>
      </c>
    </row>
    <row r="26" ht="4.9" customHeight="1" s="59"/>
  </sheetData>
  <mergeCells count="4">
    <mergeCell ref="A3:AC3"/>
    <mergeCell ref="A11:AC11"/>
    <mergeCell ref="A1:AC1"/>
    <mergeCell ref="A19:AC1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70AD47"/>
    <outlinePr summaryBelow="1" summaryRight="1"/>
    <pageSetUpPr/>
  </sheetPr>
  <dimension ref="A1:P11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L7" sqref="L7"/>
    </sheetView>
  </sheetViews>
  <sheetFormatPr baseColWidth="8" defaultRowHeight="15"/>
  <cols>
    <col width="28" customWidth="1" style="59" min="1" max="1"/>
    <col width="12.28515625" bestFit="1" customWidth="1" style="59" min="2" max="16"/>
    <col width="11" customWidth="1" style="59" min="17" max="17"/>
  </cols>
  <sheetData>
    <row r="1" ht="25.9" customHeight="1" s="59">
      <c r="A1" s="71" t="inlineStr">
        <is>
          <t>Scenario Comparison — Key Years  |  EUR/kWh  |  ★ 2025 = historical benchmark (yellow)  |  Demand: NEP 2037/2045 Version 2025 draft</t>
        </is>
      </c>
    </row>
    <row r="2" ht="22.15" customHeight="1" s="59">
      <c r="A2" s="9" t="n"/>
      <c r="B2" s="72" t="inlineStr">
        <is>
          <t>2025</t>
        </is>
      </c>
      <c r="C2" s="78" t="n"/>
      <c r="D2" s="79" t="n"/>
      <c r="E2" s="70" t="inlineStr">
        <is>
          <t>2030</t>
        </is>
      </c>
      <c r="F2" s="78" t="n"/>
      <c r="G2" s="79" t="n"/>
      <c r="H2" s="70" t="inlineStr">
        <is>
          <t>2040</t>
        </is>
      </c>
      <c r="I2" s="78" t="n"/>
      <c r="J2" s="79" t="n"/>
      <c r="K2" s="70" t="inlineStr">
        <is>
          <t>2045</t>
        </is>
      </c>
      <c r="L2" s="78" t="n"/>
      <c r="M2" s="79" t="n"/>
      <c r="N2" s="70" t="inlineStr">
        <is>
          <t>2050</t>
        </is>
      </c>
      <c r="O2" s="78" t="n"/>
      <c r="P2" s="79" t="n"/>
    </row>
    <row r="3" ht="31.9" customHeight="1" s="59">
      <c r="A3" s="45" t="inlineStr">
        <is>
          <t>Band / Consumption</t>
        </is>
      </c>
      <c r="B3" s="46" t="inlineStr">
        <is>
          <t>A Low</t>
        </is>
      </c>
      <c r="C3" s="46" t="inlineStr">
        <is>
          <t>B Base</t>
        </is>
      </c>
      <c r="D3" s="46" t="inlineStr">
        <is>
          <t>C High</t>
        </is>
      </c>
      <c r="E3" s="10" t="inlineStr">
        <is>
          <t>A Low</t>
        </is>
      </c>
      <c r="F3" s="11" t="inlineStr">
        <is>
          <t>B Base</t>
        </is>
      </c>
      <c r="G3" s="12" t="inlineStr">
        <is>
          <t>C High</t>
        </is>
      </c>
      <c r="H3" s="10" t="inlineStr">
        <is>
          <t>A Low</t>
        </is>
      </c>
      <c r="I3" s="11" t="inlineStr">
        <is>
          <t>B Base</t>
        </is>
      </c>
      <c r="J3" s="12" t="inlineStr">
        <is>
          <t>C High</t>
        </is>
      </c>
      <c r="K3" s="10" t="inlineStr">
        <is>
          <t>A Low</t>
        </is>
      </c>
      <c r="L3" s="11" t="inlineStr">
        <is>
          <t>B Base</t>
        </is>
      </c>
      <c r="M3" s="12" t="inlineStr">
        <is>
          <t>C High</t>
        </is>
      </c>
      <c r="N3" s="10" t="inlineStr">
        <is>
          <t>A Low</t>
        </is>
      </c>
      <c r="O3" s="11" t="inlineStr">
        <is>
          <t>B Base</t>
        </is>
      </c>
      <c r="P3" s="12" t="inlineStr">
        <is>
          <t>C High</t>
        </is>
      </c>
    </row>
    <row r="4" ht="18" customHeight="1" s="59">
      <c r="A4" s="47" t="inlineStr">
        <is>
          <t>IG  &gt;150 GWh  HöS</t>
        </is>
      </c>
      <c r="B4" s="48" t="n">
        <v>0.0139</v>
      </c>
      <c r="C4" s="48" t="n">
        <v>0.0136</v>
      </c>
      <c r="D4" s="48" t="n">
        <v>0.0132</v>
      </c>
      <c r="E4" s="49" t="n">
        <v>0.0162</v>
      </c>
      <c r="F4" s="49" t="n">
        <v>0.0147</v>
      </c>
      <c r="G4" s="49" t="n">
        <v>0.0133</v>
      </c>
      <c r="H4" s="49" t="n">
        <v>0.0153</v>
      </c>
      <c r="I4" s="49" t="n">
        <v>0.0133</v>
      </c>
      <c r="J4" s="49" t="n">
        <v>0.0123</v>
      </c>
      <c r="K4" s="49" t="n">
        <v>0.0154</v>
      </c>
      <c r="L4" s="49" t="n">
        <v>0.0136</v>
      </c>
      <c r="M4" s="49" t="n">
        <v>0.0126</v>
      </c>
      <c r="N4" s="49" t="n">
        <v>0.015</v>
      </c>
      <c r="O4" s="49" t="n">
        <v>0.0133</v>
      </c>
      <c r="P4" s="49" t="n">
        <v>0.0124</v>
      </c>
    </row>
    <row r="5" ht="18" customHeight="1" s="59">
      <c r="A5" s="50" t="inlineStr">
        <is>
          <t>IF  70–150 GWh  HS/HöS</t>
        </is>
      </c>
      <c r="B5" s="48" t="n">
        <v>0.0252</v>
      </c>
      <c r="C5" s="48" t="n">
        <v>0.0247</v>
      </c>
      <c r="D5" s="48" t="n">
        <v>0.0241</v>
      </c>
      <c r="E5" s="51" t="n">
        <v>0.0294</v>
      </c>
      <c r="F5" s="51" t="n">
        <v>0.0266</v>
      </c>
      <c r="G5" s="51" t="n">
        <v>0.0242</v>
      </c>
      <c r="H5" s="51" t="n">
        <v>0.0278</v>
      </c>
      <c r="I5" s="51" t="n">
        <v>0.0242</v>
      </c>
      <c r="J5" s="51" t="n">
        <v>0.0223</v>
      </c>
      <c r="K5" s="51" t="n">
        <v>0.028</v>
      </c>
      <c r="L5" s="51" t="n">
        <v>0.0247</v>
      </c>
      <c r="M5" s="51" t="n">
        <v>0.0229</v>
      </c>
      <c r="N5" s="51" t="n">
        <v>0.0273</v>
      </c>
      <c r="O5" s="51" t="n">
        <v>0.0243</v>
      </c>
      <c r="P5" s="51" t="n">
        <v>0.0226</v>
      </c>
    </row>
    <row r="6" ht="18" customHeight="1" s="59">
      <c r="A6" s="47" t="inlineStr">
        <is>
          <t>IE  20–70 GWh  HS</t>
        </is>
      </c>
      <c r="B6" s="48" t="n">
        <v>0.0397</v>
      </c>
      <c r="C6" s="48" t="n">
        <v>0.039</v>
      </c>
      <c r="D6" s="48" t="n">
        <v>0.0379</v>
      </c>
      <c r="E6" s="49" t="n">
        <v>0.0463</v>
      </c>
      <c r="F6" s="49" t="n">
        <v>0.042</v>
      </c>
      <c r="G6" s="49" t="n">
        <v>0.0381</v>
      </c>
      <c r="H6" s="49" t="n">
        <v>0.0437</v>
      </c>
      <c r="I6" s="49" t="n">
        <v>0.0381</v>
      </c>
      <c r="J6" s="49" t="n">
        <v>0.0351</v>
      </c>
      <c r="K6" s="49" t="n">
        <v>0.0441</v>
      </c>
      <c r="L6" s="49" t="n">
        <v>0.0389</v>
      </c>
      <c r="M6" s="49" t="n">
        <v>0.0361</v>
      </c>
      <c r="N6" s="49" t="n">
        <v>0.043</v>
      </c>
      <c r="O6" s="49" t="n">
        <v>0.0382</v>
      </c>
      <c r="P6" s="49" t="n">
        <v>0.0356</v>
      </c>
    </row>
    <row r="7" ht="18" customHeight="1" s="59">
      <c r="A7" s="50" t="inlineStr">
        <is>
          <t>ID  2–20 GWh  MS</t>
        </is>
      </c>
      <c r="B7" s="48" t="n">
        <v>0.0586</v>
      </c>
      <c r="C7" s="48" t="n">
        <v>0.0575</v>
      </c>
      <c r="D7" s="48" t="n">
        <v>0.056</v>
      </c>
      <c r="E7" s="51" t="n">
        <v>0.0683</v>
      </c>
      <c r="F7" s="51" t="n">
        <v>0.062</v>
      </c>
      <c r="G7" s="51" t="n">
        <v>0.0562</v>
      </c>
      <c r="H7" s="51" t="n">
        <v>0.0645</v>
      </c>
      <c r="I7" s="51" t="n">
        <v>0.0562</v>
      </c>
      <c r="J7" s="51" t="n">
        <v>0.0518</v>
      </c>
      <c r="K7" s="51" t="n">
        <v>0.06510000000000001</v>
      </c>
      <c r="L7" s="51" t="n">
        <v>0.0574</v>
      </c>
      <c r="M7" s="51" t="n">
        <v>0.0533</v>
      </c>
      <c r="N7" s="51" t="n">
        <v>0.0634</v>
      </c>
      <c r="O7" s="51" t="n">
        <v>0.0564</v>
      </c>
      <c r="P7" s="51" t="n">
        <v>0.0526</v>
      </c>
    </row>
    <row r="8" ht="18" customHeight="1" s="59">
      <c r="A8" s="47" t="inlineStr">
        <is>
          <t>IC  0.5–2 GWh  NS</t>
        </is>
      </c>
      <c r="B8" s="48" t="n">
        <v>0.0819</v>
      </c>
      <c r="C8" s="48" t="n">
        <v>0.0804</v>
      </c>
      <c r="D8" s="48" t="n">
        <v>0.07820000000000001</v>
      </c>
      <c r="E8" s="49" t="n">
        <v>0.0955</v>
      </c>
      <c r="F8" s="49" t="n">
        <v>0.0866</v>
      </c>
      <c r="G8" s="49" t="n">
        <v>0.0786</v>
      </c>
      <c r="H8" s="49" t="n">
        <v>0.0902</v>
      </c>
      <c r="I8" s="49" t="n">
        <v>0.0785</v>
      </c>
      <c r="J8" s="49" t="n">
        <v>0.0725</v>
      </c>
      <c r="K8" s="49" t="n">
        <v>0.091</v>
      </c>
      <c r="L8" s="49" t="n">
        <v>0.0803</v>
      </c>
      <c r="M8" s="49" t="n">
        <v>0.0746</v>
      </c>
      <c r="N8" s="49" t="n">
        <v>0.0886</v>
      </c>
      <c r="O8" s="49" t="n">
        <v>0.0789</v>
      </c>
      <c r="P8" s="49" t="n">
        <v>0.0735</v>
      </c>
    </row>
    <row r="9" ht="18" customHeight="1" s="59">
      <c r="A9" s="52" t="inlineStr">
        <is>
          <t>System average</t>
        </is>
      </c>
      <c r="B9" s="48" t="n">
        <v>0.063</v>
      </c>
      <c r="C9" s="48" t="n">
        <v>0.0618</v>
      </c>
      <c r="D9" s="48" t="n">
        <v>0.0602</v>
      </c>
      <c r="E9" s="53" t="n">
        <v>0.07340000000000001</v>
      </c>
      <c r="F9" s="53" t="n">
        <v>0.06660000000000001</v>
      </c>
      <c r="G9" s="53" t="n">
        <v>0.0605</v>
      </c>
      <c r="H9" s="53" t="n">
        <v>0.0694</v>
      </c>
      <c r="I9" s="53" t="n">
        <v>0.0604</v>
      </c>
      <c r="J9" s="53" t="n">
        <v>0.0558</v>
      </c>
      <c r="K9" s="53" t="n">
        <v>0.07000000000000001</v>
      </c>
      <c r="L9" s="53" t="n">
        <v>0.0618</v>
      </c>
      <c r="M9" s="53" t="n">
        <v>0.0574</v>
      </c>
      <c r="N9" s="53" t="n">
        <v>0.0682</v>
      </c>
      <c r="O9" s="53" t="n">
        <v>0.0607</v>
      </c>
      <c r="P9" s="53" t="n">
        <v>0.0565</v>
      </c>
    </row>
    <row r="11" ht="18" customHeight="1" s="59">
      <c r="A11" s="69" t="inlineStr">
        <is>
          <t>★ Yellow columns (2025): historical benchmark — model calibration reference only, not a forecast</t>
        </is>
      </c>
      <c r="B11" s="78" t="n"/>
      <c r="C11" s="78" t="n"/>
      <c r="D11" s="78" t="n"/>
      <c r="E11" s="78" t="n"/>
      <c r="F11" s="78" t="n"/>
      <c r="G11" s="78" t="n"/>
      <c r="H11" s="78" t="n"/>
      <c r="I11" s="78" t="n"/>
      <c r="J11" s="78" t="n"/>
      <c r="K11" s="78" t="n"/>
      <c r="L11" s="78" t="n"/>
      <c r="M11" s="78" t="n"/>
      <c r="N11" s="78" t="n"/>
      <c r="O11" s="78" t="n"/>
      <c r="P11" s="79" t="n"/>
    </row>
  </sheetData>
  <mergeCells count="7">
    <mergeCell ref="A11:P11"/>
    <mergeCell ref="E2:G2"/>
    <mergeCell ref="K2:M2"/>
    <mergeCell ref="N2:P2"/>
    <mergeCell ref="A1:P1"/>
    <mergeCell ref="H2:J2"/>
    <mergeCell ref="B2:D2"/>
  </mergeCells>
  <conditionalFormatting sqref="E4:P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FFC000"/>
    <outlinePr summaryBelow="1" summaryRight="1"/>
    <pageSetUpPr/>
  </sheetPr>
  <dimension ref="A1:B11"/>
  <sheetViews>
    <sheetView showGridLines="0" workbookViewId="0">
      <selection activeCell="A1" sqref="A1:B1"/>
    </sheetView>
  </sheetViews>
  <sheetFormatPr baseColWidth="8" defaultRowHeight="15"/>
  <cols>
    <col width="18" customWidth="1" style="59" min="1" max="1"/>
    <col width="100" customWidth="1" style="59" min="2" max="2"/>
  </cols>
  <sheetData>
    <row r="1" ht="28.15" customHeight="1" s="59">
      <c r="A1" s="73" t="inlineStr">
        <is>
          <t>Methodology Note  |  v3  |  ★ = Updated vs previous version</t>
        </is>
      </c>
    </row>
    <row r="2" ht="43.9" customHeight="1" s="59">
      <c r="A2" s="54" t="inlineStr">
        <is>
          <t>FORMULA</t>
        </is>
      </c>
      <c r="B2" s="55" t="inlineStr">
        <is>
          <t>Tariff_t = (WACC · RAB_t + Dep_t + OPEX_t) / Demand_t
Standard BNetzA building-block cost recovery model (ARegV, StromNEV).</t>
        </is>
      </c>
    </row>
    <row r="3" ht="43.9" customHeight="1" s="59">
      <c r="A3" s="54" t="inlineStr">
        <is>
          <t>WACC</t>
        </is>
      </c>
      <c r="B3" s="55" t="inlineStr">
        <is>
          <t>2024–2028: 5.04% nominal pre-tax (BNetzA BK4-21-055/056).
2029–2050: 5.50% (OLG Düsseldorf Aug 2023 + BNetzA AGNes reform).</t>
        </is>
      </c>
    </row>
    <row r="4" ht="43.9" customHeight="1" s="59">
      <c r="A4" s="54" t="inlineStr">
        <is>
          <t>RAB</t>
        </is>
      </c>
      <c r="B4" s="55" t="inlineStr">
        <is>
          <t>Opening €186 bn (2023). Back-derived from BDEW 2024 capital costs ~€15 bn/yr.
Roll-forward: RAB_{t+1} = RAB_t + Inv_t − Dep_t. Dep rate = 3.0%/yr (ARegV §6).</t>
        </is>
      </c>
    </row>
    <row r="5" ht="58.15" customHeight="1" s="59">
      <c r="A5" s="56" t="inlineStr">
        <is>
          <t>INVESTMENT  ★</t>
        </is>
      </c>
      <c r="B5" s="57" t="inlineStr">
        <is>
          <t>Base (Scenario B): €15bn (2023) → €34bn/yr by 2030–2037 → €24bn (2038–2045) → €18bn (2046–2050).
Source: IMK/Hans-Böckler-Stiftung Dec 2024.
Scenarios A &amp; C: Inv_s(t) = Inv_B(t) × Demand_s(t) / Demand_B(t) (proportional scaling).</t>
        </is>
      </c>
    </row>
    <row r="6" ht="30" customHeight="1" s="59">
      <c r="A6" s="54" t="inlineStr">
        <is>
          <t>OPEX</t>
        </is>
      </c>
      <c r="B6" s="55" t="inlineStr">
        <is>
          <t>€15bn (2023) → €27bn (2045), linear. BDEW/Frontier Economics Dec 2024. Constant across scenarios.</t>
        </is>
      </c>
    </row>
    <row r="7" ht="169.9" customHeight="1" s="59">
      <c r="A7" s="56" t="inlineStr">
        <is>
          <t>★ DEMAND
(UPDATED v3)</t>
        </is>
      </c>
      <c r="B7" s="57" t="inlineStr">
        <is>
          <t>Source: TSO Szenariorahmenentwurf NEP 2037/2045 Version 2025, July 2024.
Bruttostromverbrauch 2045:
  Scenario A — 967 TWh  (p.13: 'Der Bruttostromverbrauch liegt in diesem Szenario mit 967 TWh im Jahr 2045')
  Scenario B — 1,179 TWh  (p.15: 'Bruttostromverbrauch liegt in diesem Szenario mit 1.179 TWh im Jahr 2045')
  Scenario C — 1,351 TWh  (p.17: 'Bruttostromverbrauch liegt mit 1.351 TWh 2045')
URL: https://www.netzentwicklungsplan.de/sites/default/files/2024-07/Szenariorahmenentwurf_NEP2037_2025.pdf
2037 intermediate: A≈855, B≈1,030, C≈1,180 TWh (BNetzA approved SR 2025, via ZFK Dec 2025).
Note: These are GROSS (Brutto) figures. For precise tariff calculation apply ~8% net-to-gross correction.
Using gross slightly understates tariffs (denominator is ~8% larger than net consumption).</t>
        </is>
      </c>
    </row>
    <row r="8" ht="58.15" customHeight="1" s="59">
      <c r="A8" s="56" t="inlineStr">
        <is>
          <t>★ HISTORICAL
YEARS (YELLOW)</t>
        </is>
      </c>
      <c r="B8" s="57" t="inlineStr">
        <is>
          <t>Years 2023–2025 are highlighted in yellow across all sheets.
They represent the historical/benchmark period used to calibrate the model (opening RAB, OPEX baseline).
These are not forecasts. Germany's actual net consumption in 2023 was ~510 TWh (BNetzA 2024).</t>
        </is>
      </c>
    </row>
    <row r="9" ht="43.9" customHeight="1" s="59">
      <c r="A9" s="54" t="inlineStr">
        <is>
          <t>BAND WEIGHTS</t>
        </is>
      </c>
      <c r="B9" s="55" t="inlineStr">
        <is>
          <t>IG (HöS)=0.22×, IF (HS/HöS)=0.40×, IE (HS)=0.63×, ID (MS)=0.93×, IC (NS)=1.30×.
Calibrated to EWI/ef.Ruhr BW study + BNetzA DSO price sheets.</t>
        </is>
      </c>
    </row>
    <row r="10" ht="72" customHeight="1" s="59">
      <c r="A10" s="54" t="inlineStr">
        <is>
          <t>CAVEATS</t>
        </is>
      </c>
      <c r="B10" s="55" t="inlineStr">
        <is>
          <t>- §19(2) StromNEV individual discounts for IF/IG not modelled (actual tariffs may be 10–20% lower).
- 2050 = [INFERENCE]; no German study extends beyond 2045.
- Gross figures used as denominator (see Demand note above).
- OPEX and WACC constant across scenarios (simplification).</t>
        </is>
      </c>
    </row>
    <row r="11" ht="114" customHeight="1" s="59">
      <c r="A11" s="54" t="inlineStr">
        <is>
          <t>KEY SOURCES</t>
        </is>
      </c>
      <c r="B11" s="55" t="inlineStr">
        <is>
          <t>1) BDEW/Frontier Economics &amp; Consentec, 'Netzentgeltentwicklung Strom', Dec 2024.
2) IMK/Hans-Böckler-Stiftung, 'Ausbau der Stromnetze: Investitionsbedarfe', Dec 2024.
3) BNetzA BK4-21-055/056, Eigenkapitalzinssatz 4. Regulierungsperiode.
4) TSO Szenariorahmenentwurf NEP 2037/2045 Version 2025 (July 2024 draft).
5) BNetzA, Genehmigung Szenariorahmen 2025-2037/2045, April 2025.
6) EWI/ef.Ruhr, 'Netzentgelte Baden-Württemberg', Apr 2024.
7) ACER, 'Electricity Network Tariff Methodologies in Europe', 2025.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2026-04-30T01:51:14Z</dcterms:created>
  <dcterms:modified xmlns:dcterms="http://purl.org/dc/terms/" xmlns:xsi="http://www.w3.org/2001/XMLSchema-instance" xsi:type="dcterms:W3CDTF">2026-08-20T10:17:56Z</dcterms:modified>
  <cp:lastModifiedBy>Amedeo CECCATO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0x010100AE8435C741E0CE47AB0FB641BDCC1541</vt:lpwstr>
  </property>
  <property name="MediaServiceImageTags" fmtid="{D5CDD505-2E9C-101B-9397-08002B2CF9AE}" pid="3">
    <vt:lpwstr xmlns:vt="http://schemas.openxmlformats.org/officeDocument/2006/docPropsVTypes"/>
  </property>
</Properties>
</file>