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urelectricorg.sharepoint.com/sites/T-DistributionMarketFacilitation/Shared Documents/08.BI/Projects/PyPSA/Data/"/>
    </mc:Choice>
  </mc:AlternateContent>
  <xr:revisionPtr revIDLastSave="2" documentId="8_{BDDA7D7C-BC91-49DE-B678-9AF3BDF3D203}" xr6:coauthVersionLast="47" xr6:coauthVersionMax="47" xr10:uidLastSave="{A32BA9FF-14F5-4270-91DA-6F966DCCA998}"/>
  <bookViews>
    <workbookView xWindow="-120" yWindow="-120" windowWidth="29040" windowHeight="15720" activeTab="2" xr2:uid="{00000000-000D-0000-FFFF-FFFF00000000}"/>
  </bookViews>
  <sheets>
    <sheet name="Parameters" sheetId="1" r:id="rId1"/>
    <sheet name="RAB &amp; Cost Build-up" sheetId="2" r:id="rId2"/>
    <sheet name="Tariff Results" sheetId="3" r:id="rId3"/>
    <sheet name="Scenario Comparison" sheetId="4" r:id="rId4"/>
    <sheet name="Methodology Note" sheetId="5" r:id="rId5"/>
  </sheets>
  <calcPr calcId="0"/>
</workbook>
</file>

<file path=xl/sharedStrings.xml><?xml version="1.0" encoding="utf-8"?>
<sst xmlns="http://schemas.openxmlformats.org/spreadsheetml/2006/main" count="166" uniqueCount="121">
  <si>
    <t>German Industrial Network Tariff Model — Parameters  (v3)</t>
  </si>
  <si>
    <t>Formula:  Tariff_t = (WACC·RAB_t + Dep_t + OPEX_t) / Demand_t     |     Inv_s(t) = Inv_base(t) × Demand_s(t) / Demand_B(t)     |     ★ 2023–2025 = historical benchmark (yellow)</t>
  </si>
  <si>
    <t xml:space="preserve">  ① WACC</t>
  </si>
  <si>
    <t>WACC 2024–2028</t>
  </si>
  <si>
    <t>BNetzA BK4-21-055/056: EK new 5.07%/old 3.51%; 40/60 EK-FK; 30% tax → pre-tax 5.04%</t>
  </si>
  <si>
    <t>WACC 2029–2050</t>
  </si>
  <si>
    <t>OLG Düsseldorf Aug 2023 + BNetzA AGNes reform; central estimate</t>
  </si>
  <si>
    <t xml:space="preserve">  ② RAB &amp; Depreciation</t>
  </si>
  <si>
    <t>Opening RAB (2023)</t>
  </si>
  <si>
    <t>Back-derived: BDEW 2024 capital costs €15bn/yr → (5.04%+3%)×RAB=15bn</t>
  </si>
  <si>
    <t>Depreciation rate</t>
  </si>
  <si>
    <t>ARegV §6: ~33-yr average regulated asset life</t>
  </si>
  <si>
    <t>RAB roll-forward</t>
  </si>
  <si>
    <t>RAB_{t+1} = RAB_t + Inv_t − Dep_t</t>
  </si>
  <si>
    <t>Building-block model; Inv_t is scenario-adjusted</t>
  </si>
  <si>
    <t xml:space="preserve">  ③ OPEX</t>
  </si>
  <si>
    <t>OPEX 2023→2045 (linear)</t>
  </si>
  <si>
    <t>€15bn → €27bn</t>
  </si>
  <si>
    <t>BDEW/Frontier Economics Dec 2024; flat from 2045</t>
  </si>
  <si>
    <t xml:space="preserve">  ④ Base Investment Schedule (Scenario B)</t>
  </si>
  <si>
    <t xml:space="preserve">  Inv_base 2023</t>
  </si>
  <si>
    <t>IMK/Böckler Dec 2024</t>
  </si>
  <si>
    <t xml:space="preserve">  Inv_base 2024–2025</t>
  </si>
  <si>
    <t>Ramp</t>
  </si>
  <si>
    <t xml:space="preserve">  Inv_base 2026–2027</t>
  </si>
  <si>
    <t>Acceleration</t>
  </si>
  <si>
    <t xml:space="preserve">  Inv_base 2028–2029</t>
  </si>
  <si>
    <t>Near-peak</t>
  </si>
  <si>
    <t xml:space="preserve">  Inv_base 2030–2037</t>
  </si>
  <si>
    <t>Peak; ÜNB ~€19.8bn + VNB ~€14.4bn</t>
  </si>
  <si>
    <t xml:space="preserve">  Inv_base 2038–2045</t>
  </si>
  <si>
    <t>Transmission complete post-2037; distribution stays elevated</t>
  </si>
  <si>
    <t xml:space="preserve">  Inv_base 2046–2050</t>
  </si>
  <si>
    <t>[INFERENCE]</t>
  </si>
  <si>
    <t xml:space="preserve">  ⑤ Scenario-Adjusted Investment  ★</t>
  </si>
  <si>
    <t>Inv_A(t)=Inv_B(t)×Dem_A(t)/Dem_B(t)</t>
  </si>
  <si>
    <t>proportional scaling</t>
  </si>
  <si>
    <t>Lower demand → smaller grid investment → smaller RAB</t>
  </si>
  <si>
    <t>Inv_C(t)=Inv_B(t)×Dem_C(t)/Dem_B(t)</t>
  </si>
  <si>
    <t>Higher demand → larger investment → larger RAB</t>
  </si>
  <si>
    <t xml:space="preserve">  ⑥ ★ UPDATED Demand Scenarios  (NEP 2037/2045 Version 2025 draft, July 2024)</t>
  </si>
  <si>
    <t>Scenario A  (Bruttostromverbrauch 2045)</t>
  </si>
  <si>
    <t>TSO Szenariorahmenentwurf NEP2037/2045 Version 2025, p.13: 'Bruttostromverbrauch 967 TWh in 2045'</t>
  </si>
  <si>
    <t>Scenario B  (Bruttostromverbrauch 2045)</t>
  </si>
  <si>
    <t>TSO Szenariorahmenentwurf NEP2037/2045 Version 2025, p.15: 'Bruttostromverbrauch 1.179 TWh in 2045'</t>
  </si>
  <si>
    <t>Scenario C  (Bruttostromverbrauch 2045)</t>
  </si>
  <si>
    <t>TSO Szenariorahmenentwurf NEP2037/2045 Version 2025, p.17: 'Bruttostromverbrauch 1.351 TWh in 2045'</t>
  </si>
  <si>
    <t>Note on gross vs net</t>
  </si>
  <si>
    <t>Gross (Brutto) figures used as denominator</t>
  </si>
  <si>
    <t>For precise tariff calculation, apply ~8% net-to-gross correction → net A≈890/B≈1,085/C≈1,243 TWh. Using gross slightly understates tariffs.</t>
  </si>
  <si>
    <t>2037 intermediate (A/B/C, gross)</t>
  </si>
  <si>
    <t>BNetzA approved SR 2025 via ZFK Dec 2025: 'Szenario A 845-865 TWh, B 1,000-1,065 TWh for 2037'</t>
  </si>
  <si>
    <t xml:space="preserve">  ⑦ Band Allocation Weights</t>
  </si>
  <si>
    <t xml:space="preserve">  IG  &gt;150 GWh  HöS</t>
  </si>
  <si>
    <t>Deep-embedded cost causation; calibrated to EWI BW study + BNetzA DSO price sheets</t>
  </si>
  <si>
    <t xml:space="preserve">  IF  70–150 GWh  HS/HöS</t>
  </si>
  <si>
    <t xml:space="preserve">  IE  20–70 GWh  HS</t>
  </si>
  <si>
    <t xml:space="preserve">  ID  2–20 GWh  MS</t>
  </si>
  <si>
    <t xml:space="preserve">  IC  0.5–2 GWh  NS</t>
  </si>
  <si>
    <t>RAB Roll-Forward &amp; Cost Numerator  |  ★ Yellow = 2023–2025 historical benchmark  |  Inv_s(t) = Inv_base(t) × Demand_s(t) / Demand_B(t)</t>
  </si>
  <si>
    <t>Year</t>
  </si>
  <si>
    <t>Scenario A — Low</t>
  </si>
  <si>
    <t>Scenario B — Base</t>
  </si>
  <si>
    <t>Scenario C — High</t>
  </si>
  <si>
    <t>Inv
(bn €)</t>
  </si>
  <si>
    <t>Dep
(bn €)</t>
  </si>
  <si>
    <t>Closing RAB
(bn €)</t>
  </si>
  <si>
    <t>WACC×RAB
(bn €)</t>
  </si>
  <si>
    <t>OPEX
(bn €)</t>
  </si>
  <si>
    <t>Total Cost
(bn €)</t>
  </si>
  <si>
    <t>Demand
(TWh)</t>
  </si>
  <si>
    <t>Sys Avg
(ct/kWh)</t>
  </si>
  <si>
    <t>German Industrial Network Tariffs  |  EUR/kWh  |  Real 2023 EUR  |  ★ Yellow = 2023–2025 historical benchmark  |  Demand: NEP 2037/2045 Version 2025 draft</t>
  </si>
  <si>
    <t xml:space="preserve">  Scenario A — Low  —  Demand 2045: 967 TWh (Brutto, NEP 2037/2045 V2025)</t>
  </si>
  <si>
    <t xml:space="preserve">  System average (ct/kWh)</t>
  </si>
  <si>
    <t xml:space="preserve">    IG  &gt;150 GWh  HöS</t>
  </si>
  <si>
    <t xml:space="preserve">    IF  70–150 GWh  HS/HöS</t>
  </si>
  <si>
    <t xml:space="preserve">    IE  20–70 GWh  HS</t>
  </si>
  <si>
    <t xml:space="preserve">    ID  2–20 GWh  MS</t>
  </si>
  <si>
    <t xml:space="preserve">    IC  0.5–2 GWh  NS</t>
  </si>
  <si>
    <t xml:space="preserve">  Scenario B — Base  —  Demand 2045: 1,179 TWh (Brutto, NEP 2037/2045 V2025)</t>
  </si>
  <si>
    <t xml:space="preserve">  Scenario C — High  —  Demand 2045: 1,351 TWh (Brutto, NEP 2037/2045 V2025)</t>
  </si>
  <si>
    <t>Scenario Comparison — Key Years  |  EUR/kWh  |  ★ 2025 = historical benchmark (yellow)  |  Demand: NEP 2037/2045 Version 2025 draft</t>
  </si>
  <si>
    <t>2025</t>
  </si>
  <si>
    <t>2030</t>
  </si>
  <si>
    <t>2040</t>
  </si>
  <si>
    <t>2045</t>
  </si>
  <si>
    <t>2050</t>
  </si>
  <si>
    <t>Band / Consumption</t>
  </si>
  <si>
    <t>A Low</t>
  </si>
  <si>
    <t>B Base</t>
  </si>
  <si>
    <t>C High</t>
  </si>
  <si>
    <t>IG  &gt;150 GWh  HöS</t>
  </si>
  <si>
    <t>IF  70–150 GWh  HS/HöS</t>
  </si>
  <si>
    <t>IE  20–70 GWh  HS</t>
  </si>
  <si>
    <t>ID  2–20 GWh  MS</t>
  </si>
  <si>
    <t>IC  0.5–2 GWh  NS</t>
  </si>
  <si>
    <t>System average</t>
  </si>
  <si>
    <t>★ Yellow columns (2025): historical benchmark — model calibration reference only, not a forecast</t>
  </si>
  <si>
    <t>Methodology Note  |  v3  |  ★ = Updated vs previous version</t>
  </si>
  <si>
    <t>FORMULA</t>
  </si>
  <si>
    <t>Tariff_t = (WACC · RAB_t + Dep_t + OPEX_t) / Demand_t
Standard BNetzA building-block cost recovery model (ARegV, StromNEV).</t>
  </si>
  <si>
    <t>WACC</t>
  </si>
  <si>
    <t>2024–2028: 5.04% nominal pre-tax (BNetzA BK4-21-055/056).
2029–2050: 5.50% (OLG Düsseldorf Aug 2023 + BNetzA AGNes reform).</t>
  </si>
  <si>
    <t>RAB</t>
  </si>
  <si>
    <t>Opening €186 bn (2023). Back-derived from BDEW 2024 capital costs ~€15 bn/yr.
Roll-forward: RAB_{t+1} = RAB_t + Inv_t − Dep_t. Dep rate = 3.0%/yr (ARegV §6).</t>
  </si>
  <si>
    <t>INVESTMENT  ★</t>
  </si>
  <si>
    <t>Base (Scenario B): €15bn (2023) → €34bn/yr by 2030–2037 → €24bn (2038–2045) → €18bn (2046–2050).
Source: IMK/Hans-Böckler-Stiftung Dec 2024.
Scenarios A &amp; C: Inv_s(t) = Inv_B(t) × Demand_s(t) / Demand_B(t) (proportional scaling).</t>
  </si>
  <si>
    <t>OPEX</t>
  </si>
  <si>
    <t>€15bn (2023) → €27bn (2045), linear. BDEW/Frontier Economics Dec 2024. Constant across scenarios.</t>
  </si>
  <si>
    <t>★ DEMAND
(UPDATED v3)</t>
  </si>
  <si>
    <t>Source: TSO Szenariorahmenentwurf NEP 2037/2045 Version 2025, July 2024.
Bruttostromverbrauch 2045:
  Scenario A — 967 TWh  (p.13: 'Der Bruttostromverbrauch liegt in diesem Szenario mit 967 TWh im Jahr 2045')
  Scenario B — 1,179 TWh  (p.15: 'Bruttostromverbrauch liegt in diesem Szenario mit 1.179 TWh im Jahr 2045')
  Scenario C — 1,351 TWh  (p.17: 'Bruttostromverbrauch liegt mit 1.351 TWh 2045')
URL: https://www.netzentwicklungsplan.de/sites/default/files/2024-07/Szenariorahmenentwurf_NEP2037_2025.pdf
2037 intermediate: A≈855, B≈1,030, C≈1,180 TWh (BNetzA approved SR 2025, via ZFK Dec 2025).
Note: These are GROSS (Brutto) figures. For precise tariff calculation apply ~8% net-to-gross correction.
Using gross slightly understates tariffs (denominator is ~8% larger than net consumption).</t>
  </si>
  <si>
    <t>★ HISTORICAL
YEARS (YELLOW)</t>
  </si>
  <si>
    <t>Years 2023–2025 are highlighted in yellow across all sheets.
They represent the historical/benchmark period used to calibrate the model (opening RAB, OPEX baseline).
These are not forecasts. Germany's actual net consumption in 2023 was ~510 TWh (BNetzA 2024).</t>
  </si>
  <si>
    <t>BAND WEIGHTS</t>
  </si>
  <si>
    <t>IG (HöS)=0.22×, IF (HS/HöS)=0.40×, IE (HS)=0.63×, ID (MS)=0.93×, IC (NS)=1.30×.
Calibrated to EWI/ef.Ruhr BW study + BNetzA DSO price sheets.</t>
  </si>
  <si>
    <t>CAVEATS</t>
  </si>
  <si>
    <t>- §19(2) StromNEV individual discounts for IF/IG not modelled (actual tariffs may be 10–20% lower).
- 2050 = [INFERENCE]; no German study extends beyond 2045.
- Gross figures used as denominator (see Demand note above).
- OPEX and WACC constant across scenarios (simplification).</t>
  </si>
  <si>
    <t>KEY SOURCES</t>
  </si>
  <si>
    <t>1) BDEW/Frontier Economics &amp; Consentec, 'Netzentgeltentwicklung Strom', Dec 2024.
2) IMK/Hans-Böckler-Stiftung, 'Ausbau der Stromnetze: Investitionsbedarfe', Dec 2024.
3) BNetzA BK4-21-055/056, Eigenkapitalzinssatz 4. Regulierungsperiode.
4) TSO Szenariorahmenentwurf NEP 2037/2045 Version 2025 (July 2024 draft).
5) BNetzA, Genehmigung Szenariorahmen 2025-2037/2045, April 2025.
6) EWI/ef.Ruhr, 'Netzentgelte Baden-Württemberg', Apr 2024.
7) ACER, 'Electricity Network Tariff Methodologies in Europe', 2025.</t>
  </si>
  <si>
    <t>855 / 1,030 / 1,180 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</si>
</sst>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&quot; bn €&quot;"/>
    <numFmt numFmtId="165" formatCode="#,##0.0&quot; TWh&quot;"/>
    <numFmt numFmtId="166" formatCode="0.00&quot;×&quot;"/>
    <numFmt numFmtId="167" formatCode="0.00&quot; ct/kWh&quot;"/>
    <numFmt numFmtId="168" formatCode="0.0000&quot; €/kWh&quot;"/>
  </numFmts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0"/>
      <color rgb="FFFFFFFF"/>
      <name val="Calibri"/>
    </font>
    <font>
      <b/>
      <sz val="10"/>
      <color rgb="FF1F3864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9"/>
      <color rgb="FF595959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1F3864"/>
      <name val="Calibri"/>
    </font>
    <font>
      <b/>
      <sz val="9"/>
      <color rgb="FF1F3864"/>
      <name val="Calibri"/>
    </font>
    <font>
      <b/>
      <sz val="9"/>
      <color rgb="FFFFFFFF"/>
      <name val="Calibri"/>
    </font>
    <font>
      <b/>
      <sz val="9"/>
      <color rgb="FF7F4F00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FFFFFF"/>
      <name val="Calibri"/>
    </font>
    <font>
      <sz val="9"/>
      <color rgb="FF404040"/>
      <name val="Calibri"/>
    </font>
    <font>
      <b/>
      <sz val="12"/>
      <color rgb="FFFFFFFF"/>
      <name val="Calibri"/>
    </font>
    <font>
      <b/>
      <sz val="12"/>
      <color rgb="FF7F4F00"/>
      <name val="Calibri"/>
    </font>
    <font>
      <b/>
      <sz val="12"/>
      <color rgb="FF1F3864"/>
      <name val="Calibri"/>
    </font>
    <font>
      <b/>
      <sz val="10"/>
      <color rgb="FF7F4F00"/>
      <name val="Calibri"/>
    </font>
    <font>
      <b/>
      <i/>
      <sz val="10"/>
      <color rgb="FF7F4F00"/>
      <name val="Calibri"/>
    </font>
    <font>
      <b/>
      <sz val="13"/>
      <color rgb="FFFFFFFF"/>
      <name val="Calibri"/>
    </font>
    <font>
      <sz val="9"/>
      <color rgb="FF1A1A1A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538135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FFFF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10" fontId="5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0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" fontId="12" fillId="10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167" fontId="12" fillId="10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5" fontId="13" fillId="7" borderId="1" xfId="0" applyNumberFormat="1" applyFont="1" applyFill="1" applyBorder="1" applyAlignment="1">
      <alignment horizontal="center" vertical="center"/>
    </xf>
    <xf numFmtId="167" fontId="13" fillId="7" borderId="1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>
      <alignment horizontal="center" vertical="center"/>
    </xf>
    <xf numFmtId="165" fontId="14" fillId="8" borderId="1" xfId="0" applyNumberFormat="1" applyFont="1" applyFill="1" applyBorder="1" applyAlignment="1">
      <alignment horizontal="center" vertical="center"/>
    </xf>
    <xf numFmtId="167" fontId="14" fillId="8" borderId="1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167" fontId="14" fillId="4" borderId="1" xfId="0" applyNumberFormat="1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7" fontId="14" fillId="11" borderId="1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1" fontId="10" fillId="12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67" fontId="14" fillId="5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168" fontId="12" fillId="10" borderId="1" xfId="0" applyNumberFormat="1" applyFont="1" applyFill="1" applyBorder="1" applyAlignment="1">
      <alignment horizontal="center" vertical="center"/>
    </xf>
    <xf numFmtId="168" fontId="13" fillId="7" borderId="1" xfId="0" applyNumberFormat="1" applyFont="1" applyFill="1" applyBorder="1" applyAlignment="1">
      <alignment horizontal="center" vertical="center"/>
    </xf>
    <xf numFmtId="168" fontId="14" fillId="8" borderId="1" xfId="0" applyNumberFormat="1" applyFont="1" applyFill="1" applyBorder="1" applyAlignment="1">
      <alignment horizontal="center" vertical="center"/>
    </xf>
    <xf numFmtId="168" fontId="14" fillId="4" borderId="1" xfId="0" applyNumberFormat="1" applyFont="1" applyFill="1" applyBorder="1" applyAlignment="1">
      <alignment horizontal="center" vertical="center"/>
    </xf>
    <xf numFmtId="168" fontId="14" fillId="11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168" fontId="20" fillId="10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8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top" wrapText="1"/>
    </xf>
    <xf numFmtId="0" fontId="23" fillId="7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center" vertical="top" wrapText="1"/>
    </xf>
    <xf numFmtId="0" fontId="23" fillId="13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center" indent="1"/>
    </xf>
    <xf numFmtId="0" fontId="0" fillId="0" borderId="0" xfId="0"/>
    <xf numFmtId="0" fontId="7" fillId="3" borderId="1" xfId="0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 indent="2"/>
    </xf>
    <xf numFmtId="0" fontId="19" fillId="1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41"/>
  <sheetViews>
    <sheetView showGridLines="0" topLeftCell="A7" workbookViewId="0">
      <selection activeCell="B33" sqref="B33"/>
    </sheetView>
  </sheetViews>
  <sheetFormatPr defaultRowHeight="15" x14ac:dyDescent="0.25"/>
  <cols>
    <col min="1" max="1" width="38" customWidth="1"/>
    <col min="2" max="2" width="20" customWidth="1"/>
    <col min="3" max="3" width="48" customWidth="1"/>
  </cols>
  <sheetData>
    <row r="1" spans="1:3" ht="30" customHeight="1" x14ac:dyDescent="0.25">
      <c r="A1" s="64" t="s">
        <v>0</v>
      </c>
      <c r="B1" s="59"/>
      <c r="C1" s="59"/>
    </row>
    <row r="2" spans="1:3" ht="19.899999999999999" customHeight="1" x14ac:dyDescent="0.25">
      <c r="A2" s="65" t="s">
        <v>1</v>
      </c>
      <c r="B2" s="59"/>
      <c r="C2" s="59"/>
    </row>
    <row r="4" spans="1:3" x14ac:dyDescent="0.25">
      <c r="A4" s="63" t="s">
        <v>2</v>
      </c>
      <c r="B4" s="59"/>
      <c r="C4" s="59"/>
    </row>
    <row r="5" spans="1:3" ht="22.15" customHeight="1" x14ac:dyDescent="0.25">
      <c r="A5" s="1" t="s">
        <v>3</v>
      </c>
      <c r="B5" s="2">
        <v>5.04E-2</v>
      </c>
      <c r="C5" s="3" t="s">
        <v>4</v>
      </c>
    </row>
    <row r="6" spans="1:3" ht="22.15" customHeight="1" x14ac:dyDescent="0.25">
      <c r="A6" s="1" t="s">
        <v>5</v>
      </c>
      <c r="B6" s="2">
        <v>5.5E-2</v>
      </c>
      <c r="C6" s="3" t="s">
        <v>6</v>
      </c>
    </row>
    <row r="8" spans="1:3" x14ac:dyDescent="0.25">
      <c r="A8" s="63" t="s">
        <v>7</v>
      </c>
      <c r="B8" s="59"/>
      <c r="C8" s="59"/>
    </row>
    <row r="9" spans="1:3" ht="22.15" customHeight="1" x14ac:dyDescent="0.25">
      <c r="A9" s="1" t="s">
        <v>8</v>
      </c>
      <c r="B9" s="4">
        <v>186</v>
      </c>
      <c r="C9" s="3" t="s">
        <v>9</v>
      </c>
    </row>
    <row r="10" spans="1:3" ht="22.15" customHeight="1" x14ac:dyDescent="0.25">
      <c r="A10" s="1" t="s">
        <v>10</v>
      </c>
      <c r="B10" s="2">
        <v>0.03</v>
      </c>
      <c r="C10" s="3" t="s">
        <v>11</v>
      </c>
    </row>
    <row r="11" spans="1:3" ht="22.15" customHeight="1" x14ac:dyDescent="0.25">
      <c r="A11" s="1" t="s">
        <v>12</v>
      </c>
      <c r="B11" s="5" t="s">
        <v>13</v>
      </c>
      <c r="C11" s="3" t="s">
        <v>14</v>
      </c>
    </row>
    <row r="13" spans="1:3" x14ac:dyDescent="0.25">
      <c r="A13" s="63" t="s">
        <v>15</v>
      </c>
      <c r="B13" s="59"/>
      <c r="C13" s="59"/>
    </row>
    <row r="14" spans="1:3" ht="22.15" customHeight="1" x14ac:dyDescent="0.25">
      <c r="A14" s="1" t="s">
        <v>16</v>
      </c>
      <c r="B14" s="5" t="s">
        <v>17</v>
      </c>
      <c r="C14" s="3" t="s">
        <v>18</v>
      </c>
    </row>
    <row r="16" spans="1:3" x14ac:dyDescent="0.25">
      <c r="A16" s="63" t="s">
        <v>19</v>
      </c>
      <c r="B16" s="59"/>
      <c r="C16" s="59"/>
    </row>
    <row r="17" spans="1:3" ht="22.15" customHeight="1" x14ac:dyDescent="0.25">
      <c r="A17" s="1" t="s">
        <v>20</v>
      </c>
      <c r="B17" s="4">
        <v>15</v>
      </c>
      <c r="C17" s="3" t="s">
        <v>21</v>
      </c>
    </row>
    <row r="18" spans="1:3" ht="22.15" customHeight="1" x14ac:dyDescent="0.25">
      <c r="A18" s="1" t="s">
        <v>22</v>
      </c>
      <c r="B18" s="4">
        <v>18</v>
      </c>
      <c r="C18" s="3" t="s">
        <v>23</v>
      </c>
    </row>
    <row r="19" spans="1:3" ht="22.15" customHeight="1" x14ac:dyDescent="0.25">
      <c r="A19" s="1" t="s">
        <v>24</v>
      </c>
      <c r="B19" s="4">
        <v>23</v>
      </c>
      <c r="C19" s="3" t="s">
        <v>25</v>
      </c>
    </row>
    <row r="20" spans="1:3" ht="22.15" customHeight="1" x14ac:dyDescent="0.25">
      <c r="A20" s="1" t="s">
        <v>26</v>
      </c>
      <c r="B20" s="4">
        <v>30</v>
      </c>
      <c r="C20" s="3" t="s">
        <v>27</v>
      </c>
    </row>
    <row r="21" spans="1:3" ht="22.15" customHeight="1" x14ac:dyDescent="0.25">
      <c r="A21" s="1" t="s">
        <v>28</v>
      </c>
      <c r="B21" s="4">
        <v>34</v>
      </c>
      <c r="C21" s="3" t="s">
        <v>29</v>
      </c>
    </row>
    <row r="22" spans="1:3" ht="22.15" customHeight="1" x14ac:dyDescent="0.25">
      <c r="A22" s="1" t="s">
        <v>30</v>
      </c>
      <c r="B22" s="4">
        <v>24</v>
      </c>
      <c r="C22" s="3" t="s">
        <v>31</v>
      </c>
    </row>
    <row r="23" spans="1:3" ht="22.15" customHeight="1" x14ac:dyDescent="0.25">
      <c r="A23" s="1" t="s">
        <v>32</v>
      </c>
      <c r="B23" s="4">
        <v>18</v>
      </c>
      <c r="C23" s="3" t="s">
        <v>33</v>
      </c>
    </row>
    <row r="25" spans="1:3" x14ac:dyDescent="0.25">
      <c r="A25" s="63" t="s">
        <v>34</v>
      </c>
      <c r="B25" s="59"/>
      <c r="C25" s="59"/>
    </row>
    <row r="26" spans="1:3" ht="22.15" customHeight="1" x14ac:dyDescent="0.25">
      <c r="A26" s="1" t="s">
        <v>35</v>
      </c>
      <c r="B26" s="5" t="s">
        <v>36</v>
      </c>
      <c r="C26" s="3" t="s">
        <v>37</v>
      </c>
    </row>
    <row r="27" spans="1:3" ht="22.15" customHeight="1" x14ac:dyDescent="0.25">
      <c r="A27" s="1" t="s">
        <v>38</v>
      </c>
      <c r="B27" s="5" t="s">
        <v>36</v>
      </c>
      <c r="C27" s="3" t="s">
        <v>39</v>
      </c>
    </row>
    <row r="29" spans="1:3" x14ac:dyDescent="0.25">
      <c r="A29" s="63" t="s">
        <v>40</v>
      </c>
      <c r="B29" s="59"/>
      <c r="C29" s="59"/>
    </row>
    <row r="30" spans="1:3" ht="22.15" customHeight="1" x14ac:dyDescent="0.25">
      <c r="A30" s="1" t="s">
        <v>41</v>
      </c>
      <c r="B30" s="6">
        <v>967</v>
      </c>
      <c r="C30" s="3" t="s">
        <v>42</v>
      </c>
    </row>
    <row r="31" spans="1:3" ht="22.15" customHeight="1" x14ac:dyDescent="0.25">
      <c r="A31" s="1" t="s">
        <v>43</v>
      </c>
      <c r="B31" s="6">
        <v>1179</v>
      </c>
      <c r="C31" s="3" t="s">
        <v>44</v>
      </c>
    </row>
    <row r="32" spans="1:3" ht="22.15" customHeight="1" x14ac:dyDescent="0.25">
      <c r="A32" s="1" t="s">
        <v>45</v>
      </c>
      <c r="B32" s="6">
        <v>1351</v>
      </c>
      <c r="C32" s="3" t="s">
        <v>46</v>
      </c>
    </row>
    <row r="33" spans="1:3" ht="22.15" customHeight="1" x14ac:dyDescent="0.25">
      <c r="A33" s="1" t="s">
        <v>47</v>
      </c>
      <c r="B33" s="5" t="s">
        <v>48</v>
      </c>
      <c r="C33" s="3" t="s">
        <v>49</v>
      </c>
    </row>
    <row r="34" spans="1:3" ht="22.15" customHeight="1" x14ac:dyDescent="0.25">
      <c r="A34" s="1" t="s">
        <v>50</v>
      </c>
      <c r="B34" s="5" t="s">
        <v>120</v>
      </c>
      <c r="C34" s="3" t="s">
        <v>51</v>
      </c>
    </row>
    <row r="36" spans="1:3" x14ac:dyDescent="0.25">
      <c r="A36" s="63" t="s">
        <v>52</v>
      </c>
      <c r="B36" s="59"/>
      <c r="C36" s="59"/>
    </row>
    <row r="37" spans="1:3" ht="22.15" customHeight="1" x14ac:dyDescent="0.25">
      <c r="A37" s="1" t="s">
        <v>53</v>
      </c>
      <c r="B37" s="7">
        <v>0.22</v>
      </c>
      <c r="C37" s="3" t="s">
        <v>54</v>
      </c>
    </row>
    <row r="38" spans="1:3" ht="22.15" customHeight="1" x14ac:dyDescent="0.25">
      <c r="A38" s="1" t="s">
        <v>55</v>
      </c>
      <c r="B38" s="7">
        <v>0.4</v>
      </c>
      <c r="C38" s="3" t="s">
        <v>54</v>
      </c>
    </row>
    <row r="39" spans="1:3" ht="22.15" customHeight="1" x14ac:dyDescent="0.25">
      <c r="A39" s="1" t="s">
        <v>56</v>
      </c>
      <c r="B39" s="7">
        <v>0.63</v>
      </c>
      <c r="C39" s="3" t="s">
        <v>54</v>
      </c>
    </row>
    <row r="40" spans="1:3" ht="22.15" customHeight="1" x14ac:dyDescent="0.25">
      <c r="A40" s="1" t="s">
        <v>57</v>
      </c>
      <c r="B40" s="7">
        <v>0.93</v>
      </c>
      <c r="C40" s="3" t="s">
        <v>54</v>
      </c>
    </row>
    <row r="41" spans="1:3" ht="22.15" customHeight="1" x14ac:dyDescent="0.25">
      <c r="A41" s="1" t="s">
        <v>58</v>
      </c>
      <c r="B41" s="7">
        <v>1.3</v>
      </c>
      <c r="C41" s="3" t="s">
        <v>54</v>
      </c>
    </row>
  </sheetData>
  <mergeCells count="9">
    <mergeCell ref="A25:C25"/>
    <mergeCell ref="A13:C13"/>
    <mergeCell ref="A36:C36"/>
    <mergeCell ref="A1:C1"/>
    <mergeCell ref="A16:C16"/>
    <mergeCell ref="A8:C8"/>
    <mergeCell ref="A29:C29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Y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6" width="11" customWidth="1"/>
  </cols>
  <sheetData>
    <row r="1" spans="1:25" ht="24" customHeight="1" x14ac:dyDescent="0.25">
      <c r="A1" s="61" t="s">
        <v>59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5" ht="19.899999999999999" customHeight="1" x14ac:dyDescent="0.25">
      <c r="A2" s="8" t="s">
        <v>60</v>
      </c>
      <c r="B2" s="68" t="s">
        <v>61</v>
      </c>
      <c r="C2" s="59"/>
      <c r="D2" s="59"/>
      <c r="E2" s="59"/>
      <c r="F2" s="59"/>
      <c r="G2" s="59"/>
      <c r="H2" s="59"/>
      <c r="I2" s="59"/>
      <c r="J2" s="67" t="s">
        <v>62</v>
      </c>
      <c r="K2" s="59"/>
      <c r="L2" s="59"/>
      <c r="M2" s="59"/>
      <c r="N2" s="59"/>
      <c r="O2" s="59"/>
      <c r="P2" s="59"/>
      <c r="Q2" s="59"/>
      <c r="R2" s="66" t="s">
        <v>63</v>
      </c>
      <c r="S2" s="59"/>
      <c r="T2" s="59"/>
      <c r="U2" s="59"/>
      <c r="V2" s="59"/>
      <c r="W2" s="59"/>
      <c r="X2" s="59"/>
      <c r="Y2" s="59"/>
    </row>
    <row r="3" spans="1:25" ht="37.9" customHeight="1" x14ac:dyDescent="0.25">
      <c r="A3" s="9"/>
      <c r="B3" s="10" t="s">
        <v>64</v>
      </c>
      <c r="C3" s="10" t="s">
        <v>65</v>
      </c>
      <c r="D3" s="10" t="s">
        <v>66</v>
      </c>
      <c r="E3" s="10" t="s">
        <v>67</v>
      </c>
      <c r="F3" s="10" t="s">
        <v>68</v>
      </c>
      <c r="G3" s="10" t="s">
        <v>69</v>
      </c>
      <c r="H3" s="10" t="s">
        <v>70</v>
      </c>
      <c r="I3" s="10" t="s">
        <v>71</v>
      </c>
      <c r="J3" s="11" t="s">
        <v>64</v>
      </c>
      <c r="K3" s="11" t="s">
        <v>65</v>
      </c>
      <c r="L3" s="11" t="s">
        <v>66</v>
      </c>
      <c r="M3" s="11" t="s">
        <v>67</v>
      </c>
      <c r="N3" s="11" t="s">
        <v>68</v>
      </c>
      <c r="O3" s="11" t="s">
        <v>69</v>
      </c>
      <c r="P3" s="11" t="s">
        <v>70</v>
      </c>
      <c r="Q3" s="11" t="s">
        <v>71</v>
      </c>
      <c r="R3" s="12" t="s">
        <v>64</v>
      </c>
      <c r="S3" s="12" t="s">
        <v>65</v>
      </c>
      <c r="T3" s="12" t="s">
        <v>66</v>
      </c>
      <c r="U3" s="12" t="s">
        <v>67</v>
      </c>
      <c r="V3" s="12" t="s">
        <v>68</v>
      </c>
      <c r="W3" s="12" t="s">
        <v>69</v>
      </c>
      <c r="X3" s="12" t="s">
        <v>70</v>
      </c>
      <c r="Y3" s="12" t="s">
        <v>71</v>
      </c>
    </row>
    <row r="4" spans="1:25" ht="15" customHeight="1" x14ac:dyDescent="0.25">
      <c r="A4" s="13">
        <v>2023</v>
      </c>
      <c r="B4" s="14">
        <v>15</v>
      </c>
      <c r="C4" s="14">
        <v>5.58</v>
      </c>
      <c r="D4" s="14">
        <v>195.42</v>
      </c>
      <c r="E4" s="14">
        <v>9.3699999999999992</v>
      </c>
      <c r="F4" s="14">
        <v>15</v>
      </c>
      <c r="G4" s="14">
        <v>29.95</v>
      </c>
      <c r="H4" s="15">
        <v>510</v>
      </c>
      <c r="I4" s="16">
        <v>5.87</v>
      </c>
      <c r="J4" s="14">
        <v>15</v>
      </c>
      <c r="K4" s="14">
        <v>5.58</v>
      </c>
      <c r="L4" s="14">
        <v>195.42</v>
      </c>
      <c r="M4" s="14">
        <v>9.3699999999999992</v>
      </c>
      <c r="N4" s="14">
        <v>15</v>
      </c>
      <c r="O4" s="14">
        <v>29.95</v>
      </c>
      <c r="P4" s="15">
        <v>510</v>
      </c>
      <c r="Q4" s="16">
        <v>5.87</v>
      </c>
      <c r="R4" s="14">
        <v>15</v>
      </c>
      <c r="S4" s="14">
        <v>5.58</v>
      </c>
      <c r="T4" s="14">
        <v>195.42</v>
      </c>
      <c r="U4" s="14">
        <v>9.3699999999999992</v>
      </c>
      <c r="V4" s="14">
        <v>15</v>
      </c>
      <c r="W4" s="14">
        <v>29.95</v>
      </c>
      <c r="X4" s="15">
        <v>510</v>
      </c>
      <c r="Y4" s="16">
        <v>5.87</v>
      </c>
    </row>
    <row r="5" spans="1:25" ht="15" customHeight="1" x14ac:dyDescent="0.25">
      <c r="A5" s="13">
        <v>2024</v>
      </c>
      <c r="B5" s="14">
        <v>17.829999999999998</v>
      </c>
      <c r="C5" s="14">
        <v>5.86</v>
      </c>
      <c r="D5" s="14">
        <v>207.38</v>
      </c>
      <c r="E5" s="14">
        <v>9.85</v>
      </c>
      <c r="F5" s="14">
        <v>15.55</v>
      </c>
      <c r="G5" s="14">
        <v>31.26</v>
      </c>
      <c r="H5" s="15">
        <v>515</v>
      </c>
      <c r="I5" s="16">
        <v>6.07</v>
      </c>
      <c r="J5" s="14">
        <v>18</v>
      </c>
      <c r="K5" s="14">
        <v>5.86</v>
      </c>
      <c r="L5" s="14">
        <v>207.56</v>
      </c>
      <c r="M5" s="14">
        <v>9.85</v>
      </c>
      <c r="N5" s="14">
        <v>15.55</v>
      </c>
      <c r="O5" s="14">
        <v>31.26</v>
      </c>
      <c r="P5" s="15">
        <v>520</v>
      </c>
      <c r="Q5" s="16">
        <v>6.01</v>
      </c>
      <c r="R5" s="14">
        <v>18.260000000000002</v>
      </c>
      <c r="S5" s="14">
        <v>5.86</v>
      </c>
      <c r="T5" s="14">
        <v>207.82</v>
      </c>
      <c r="U5" s="14">
        <v>9.85</v>
      </c>
      <c r="V5" s="14">
        <v>15.55</v>
      </c>
      <c r="W5" s="14">
        <v>31.26</v>
      </c>
      <c r="X5" s="15">
        <v>527.5</v>
      </c>
      <c r="Y5" s="16">
        <v>5.93</v>
      </c>
    </row>
    <row r="6" spans="1:25" ht="15" customHeight="1" x14ac:dyDescent="0.25">
      <c r="A6" s="13">
        <v>2025</v>
      </c>
      <c r="B6" s="14">
        <v>17.66</v>
      </c>
      <c r="C6" s="14">
        <v>6.22</v>
      </c>
      <c r="D6" s="14">
        <v>218.82</v>
      </c>
      <c r="E6" s="14">
        <v>10.45</v>
      </c>
      <c r="F6" s="14">
        <v>16.09</v>
      </c>
      <c r="G6" s="14">
        <v>32.76</v>
      </c>
      <c r="H6" s="15">
        <v>520</v>
      </c>
      <c r="I6" s="16">
        <v>6.3</v>
      </c>
      <c r="J6" s="14">
        <v>18</v>
      </c>
      <c r="K6" s="14">
        <v>6.23</v>
      </c>
      <c r="L6" s="14">
        <v>219.33</v>
      </c>
      <c r="M6" s="14">
        <v>10.46</v>
      </c>
      <c r="N6" s="14">
        <v>16.09</v>
      </c>
      <c r="O6" s="14">
        <v>32.78</v>
      </c>
      <c r="P6" s="15">
        <v>530</v>
      </c>
      <c r="Q6" s="16">
        <v>6.18</v>
      </c>
      <c r="R6" s="14">
        <v>18.510000000000002</v>
      </c>
      <c r="S6" s="14">
        <v>6.23</v>
      </c>
      <c r="T6" s="14">
        <v>220.09</v>
      </c>
      <c r="U6" s="14">
        <v>10.47</v>
      </c>
      <c r="V6" s="14">
        <v>16.09</v>
      </c>
      <c r="W6" s="14">
        <v>32.799999999999997</v>
      </c>
      <c r="X6" s="15">
        <v>545</v>
      </c>
      <c r="Y6" s="16">
        <v>6.02</v>
      </c>
    </row>
    <row r="7" spans="1:25" ht="15" customHeight="1" x14ac:dyDescent="0.25">
      <c r="A7" s="17">
        <v>2026</v>
      </c>
      <c r="B7" s="18">
        <v>22.09</v>
      </c>
      <c r="C7" s="18">
        <v>6.56</v>
      </c>
      <c r="D7" s="18">
        <v>234.35</v>
      </c>
      <c r="E7" s="18">
        <v>11.03</v>
      </c>
      <c r="F7" s="18">
        <v>16.64</v>
      </c>
      <c r="G7" s="18">
        <v>34.229999999999997</v>
      </c>
      <c r="H7" s="19">
        <v>534</v>
      </c>
      <c r="I7" s="20">
        <v>6.41</v>
      </c>
      <c r="J7" s="18">
        <v>23</v>
      </c>
      <c r="K7" s="18">
        <v>6.58</v>
      </c>
      <c r="L7" s="18">
        <v>235.75</v>
      </c>
      <c r="M7" s="18">
        <v>11.05</v>
      </c>
      <c r="N7" s="18">
        <v>16.64</v>
      </c>
      <c r="O7" s="18">
        <v>34.270000000000003</v>
      </c>
      <c r="P7" s="19">
        <v>556</v>
      </c>
      <c r="Q7" s="20">
        <v>6.16</v>
      </c>
      <c r="R7" s="18">
        <v>24.16</v>
      </c>
      <c r="S7" s="18">
        <v>6.6</v>
      </c>
      <c r="T7" s="18">
        <v>237.65</v>
      </c>
      <c r="U7" s="18">
        <v>11.09</v>
      </c>
      <c r="V7" s="18">
        <v>16.64</v>
      </c>
      <c r="W7" s="18">
        <v>34.33</v>
      </c>
      <c r="X7" s="19">
        <v>584</v>
      </c>
      <c r="Y7" s="20">
        <v>5.88</v>
      </c>
    </row>
    <row r="8" spans="1:25" ht="15" customHeight="1" x14ac:dyDescent="0.25">
      <c r="A8" s="21">
        <v>2027</v>
      </c>
      <c r="B8" s="22">
        <v>21.66</v>
      </c>
      <c r="C8" s="22">
        <v>7.03</v>
      </c>
      <c r="D8" s="22">
        <v>248.97</v>
      </c>
      <c r="E8" s="22">
        <v>11.81</v>
      </c>
      <c r="F8" s="22">
        <v>17.18</v>
      </c>
      <c r="G8" s="22">
        <v>36.020000000000003</v>
      </c>
      <c r="H8" s="23">
        <v>548</v>
      </c>
      <c r="I8" s="24">
        <v>6.57</v>
      </c>
      <c r="J8" s="22">
        <v>23</v>
      </c>
      <c r="K8" s="22">
        <v>7.07</v>
      </c>
      <c r="L8" s="22">
        <v>251.68</v>
      </c>
      <c r="M8" s="22">
        <v>11.88</v>
      </c>
      <c r="N8" s="22">
        <v>17.18</v>
      </c>
      <c r="O8" s="22">
        <v>36.14</v>
      </c>
      <c r="P8" s="23">
        <v>582</v>
      </c>
      <c r="Q8" s="24">
        <v>6.21</v>
      </c>
      <c r="R8" s="22">
        <v>24.62</v>
      </c>
      <c r="S8" s="22">
        <v>7.13</v>
      </c>
      <c r="T8" s="22">
        <v>255.14</v>
      </c>
      <c r="U8" s="22">
        <v>11.98</v>
      </c>
      <c r="V8" s="22">
        <v>17.18</v>
      </c>
      <c r="W8" s="22">
        <v>36.29</v>
      </c>
      <c r="X8" s="23">
        <v>623</v>
      </c>
      <c r="Y8" s="24">
        <v>5.82</v>
      </c>
    </row>
    <row r="9" spans="1:25" ht="15" customHeight="1" x14ac:dyDescent="0.25">
      <c r="A9" s="17">
        <v>2028</v>
      </c>
      <c r="B9" s="18">
        <v>27.73</v>
      </c>
      <c r="C9" s="18">
        <v>7.47</v>
      </c>
      <c r="D9" s="18">
        <v>269.24</v>
      </c>
      <c r="E9" s="18">
        <v>12.55</v>
      </c>
      <c r="F9" s="18">
        <v>17.73</v>
      </c>
      <c r="G9" s="18">
        <v>37.74</v>
      </c>
      <c r="H9" s="19">
        <v>562</v>
      </c>
      <c r="I9" s="20">
        <v>6.72</v>
      </c>
      <c r="J9" s="18">
        <v>30</v>
      </c>
      <c r="K9" s="18">
        <v>7.55</v>
      </c>
      <c r="L9" s="18">
        <v>274.13</v>
      </c>
      <c r="M9" s="18">
        <v>12.68</v>
      </c>
      <c r="N9" s="18">
        <v>17.73</v>
      </c>
      <c r="O9" s="18">
        <v>37.96</v>
      </c>
      <c r="P9" s="19">
        <v>608</v>
      </c>
      <c r="Q9" s="20">
        <v>6.24</v>
      </c>
      <c r="R9" s="18">
        <v>32.659999999999997</v>
      </c>
      <c r="S9" s="18">
        <v>7.65</v>
      </c>
      <c r="T9" s="18">
        <v>280.14999999999998</v>
      </c>
      <c r="U9" s="18">
        <v>12.86</v>
      </c>
      <c r="V9" s="18">
        <v>17.73</v>
      </c>
      <c r="W9" s="18">
        <v>38.24</v>
      </c>
      <c r="X9" s="19">
        <v>662</v>
      </c>
      <c r="Y9" s="20">
        <v>5.78</v>
      </c>
    </row>
    <row r="10" spans="1:25" ht="15" customHeight="1" x14ac:dyDescent="0.25">
      <c r="A10" s="21">
        <v>2029</v>
      </c>
      <c r="B10" s="22">
        <v>27.26</v>
      </c>
      <c r="C10" s="22">
        <v>8.08</v>
      </c>
      <c r="D10" s="22">
        <v>288.41000000000003</v>
      </c>
      <c r="E10" s="22">
        <v>14.81</v>
      </c>
      <c r="F10" s="22">
        <v>18.27</v>
      </c>
      <c r="G10" s="22">
        <v>41.16</v>
      </c>
      <c r="H10" s="23">
        <v>576</v>
      </c>
      <c r="I10" s="24">
        <v>7.15</v>
      </c>
      <c r="J10" s="22">
        <v>30</v>
      </c>
      <c r="K10" s="22">
        <v>8.2200000000000006</v>
      </c>
      <c r="L10" s="22">
        <v>295.89999999999998</v>
      </c>
      <c r="M10" s="22">
        <v>15.08</v>
      </c>
      <c r="N10" s="22">
        <v>18.27</v>
      </c>
      <c r="O10" s="22">
        <v>41.57</v>
      </c>
      <c r="P10" s="23">
        <v>634</v>
      </c>
      <c r="Q10" s="24">
        <v>6.56</v>
      </c>
      <c r="R10" s="22">
        <v>33.17</v>
      </c>
      <c r="S10" s="22">
        <v>8.4</v>
      </c>
      <c r="T10" s="22">
        <v>304.91000000000003</v>
      </c>
      <c r="U10" s="22">
        <v>15.41</v>
      </c>
      <c r="V10" s="22">
        <v>18.27</v>
      </c>
      <c r="W10" s="22">
        <v>42.09</v>
      </c>
      <c r="X10" s="23">
        <v>701</v>
      </c>
      <c r="Y10" s="24">
        <v>6</v>
      </c>
    </row>
    <row r="11" spans="1:25" ht="15" customHeight="1" x14ac:dyDescent="0.25">
      <c r="A11" s="25">
        <v>2030</v>
      </c>
      <c r="B11" s="26">
        <v>30.39</v>
      </c>
      <c r="C11" s="26">
        <v>8.65</v>
      </c>
      <c r="D11" s="26">
        <v>310.16000000000003</v>
      </c>
      <c r="E11" s="26">
        <v>15.86</v>
      </c>
      <c r="F11" s="26">
        <v>18.82</v>
      </c>
      <c r="G11" s="26">
        <v>43.33</v>
      </c>
      <c r="H11" s="27">
        <v>590</v>
      </c>
      <c r="I11" s="28">
        <v>7.34</v>
      </c>
      <c r="J11" s="29">
        <v>34</v>
      </c>
      <c r="K11" s="29">
        <v>8.8800000000000008</v>
      </c>
      <c r="L11" s="29">
        <v>321.02999999999997</v>
      </c>
      <c r="M11" s="29">
        <v>16.27</v>
      </c>
      <c r="N11" s="29">
        <v>18.82</v>
      </c>
      <c r="O11" s="29">
        <v>43.97</v>
      </c>
      <c r="P11" s="30">
        <v>660</v>
      </c>
      <c r="Q11" s="31">
        <v>6.66</v>
      </c>
      <c r="R11" s="32">
        <v>38.119999999999997</v>
      </c>
      <c r="S11" s="32">
        <v>9.15</v>
      </c>
      <c r="T11" s="32">
        <v>333.89</v>
      </c>
      <c r="U11" s="32">
        <v>16.77</v>
      </c>
      <c r="V11" s="32">
        <v>18.82</v>
      </c>
      <c r="W11" s="32">
        <v>44.74</v>
      </c>
      <c r="X11" s="33">
        <v>740</v>
      </c>
      <c r="Y11" s="34">
        <v>6.05</v>
      </c>
    </row>
    <row r="12" spans="1:25" ht="15" customHeight="1" x14ac:dyDescent="0.25">
      <c r="A12" s="21">
        <v>2031</v>
      </c>
      <c r="B12" s="22">
        <v>29.95</v>
      </c>
      <c r="C12" s="22">
        <v>9.3000000000000007</v>
      </c>
      <c r="D12" s="22">
        <v>330.8</v>
      </c>
      <c r="E12" s="22">
        <v>17.059999999999999</v>
      </c>
      <c r="F12" s="22">
        <v>19.36</v>
      </c>
      <c r="G12" s="22">
        <v>45.73</v>
      </c>
      <c r="H12" s="23">
        <v>627.86</v>
      </c>
      <c r="I12" s="24">
        <v>7.28</v>
      </c>
      <c r="J12" s="22">
        <v>34</v>
      </c>
      <c r="K12" s="22">
        <v>9.6300000000000008</v>
      </c>
      <c r="L12" s="22">
        <v>345.4</v>
      </c>
      <c r="M12" s="22">
        <v>17.66</v>
      </c>
      <c r="N12" s="22">
        <v>19.36</v>
      </c>
      <c r="O12" s="22">
        <v>46.65</v>
      </c>
      <c r="P12" s="23">
        <v>712.86</v>
      </c>
      <c r="Q12" s="24">
        <v>6.54</v>
      </c>
      <c r="R12" s="22">
        <v>38.29</v>
      </c>
      <c r="S12" s="22">
        <v>10.02</v>
      </c>
      <c r="T12" s="22">
        <v>362.16</v>
      </c>
      <c r="U12" s="22">
        <v>18.36</v>
      </c>
      <c r="V12" s="22">
        <v>19.36</v>
      </c>
      <c r="W12" s="22">
        <v>47.74</v>
      </c>
      <c r="X12" s="23">
        <v>802.86</v>
      </c>
      <c r="Y12" s="24">
        <v>5.95</v>
      </c>
    </row>
    <row r="13" spans="1:25" ht="15" customHeight="1" x14ac:dyDescent="0.25">
      <c r="A13" s="17">
        <v>2032</v>
      </c>
      <c r="B13" s="18">
        <v>29.56</v>
      </c>
      <c r="C13" s="18">
        <v>9.92</v>
      </c>
      <c r="D13" s="18">
        <v>350.43</v>
      </c>
      <c r="E13" s="18">
        <v>18.190000000000001</v>
      </c>
      <c r="F13" s="18">
        <v>19.91</v>
      </c>
      <c r="G13" s="18">
        <v>48.03</v>
      </c>
      <c r="H13" s="19">
        <v>665.71</v>
      </c>
      <c r="I13" s="20">
        <v>7.21</v>
      </c>
      <c r="J13" s="18">
        <v>34</v>
      </c>
      <c r="K13" s="18">
        <v>10.36</v>
      </c>
      <c r="L13" s="18">
        <v>369.03</v>
      </c>
      <c r="M13" s="18">
        <v>19</v>
      </c>
      <c r="N13" s="18">
        <v>19.91</v>
      </c>
      <c r="O13" s="18">
        <v>49.27</v>
      </c>
      <c r="P13" s="19">
        <v>765.71</v>
      </c>
      <c r="Q13" s="20">
        <v>6.43</v>
      </c>
      <c r="R13" s="18">
        <v>38.44</v>
      </c>
      <c r="S13" s="18">
        <v>10.86</v>
      </c>
      <c r="T13" s="18">
        <v>389.74</v>
      </c>
      <c r="U13" s="18">
        <v>19.920000000000002</v>
      </c>
      <c r="V13" s="18">
        <v>19.91</v>
      </c>
      <c r="W13" s="18">
        <v>50.69</v>
      </c>
      <c r="X13" s="19">
        <v>865.71</v>
      </c>
      <c r="Y13" s="20">
        <v>5.86</v>
      </c>
    </row>
    <row r="14" spans="1:25" ht="15" customHeight="1" x14ac:dyDescent="0.25">
      <c r="A14" s="21">
        <v>2033</v>
      </c>
      <c r="B14" s="22">
        <v>29.22</v>
      </c>
      <c r="C14" s="22">
        <v>10.51</v>
      </c>
      <c r="D14" s="22">
        <v>369.14</v>
      </c>
      <c r="E14" s="22">
        <v>19.27</v>
      </c>
      <c r="F14" s="22">
        <v>20.45</v>
      </c>
      <c r="G14" s="22">
        <v>50.24</v>
      </c>
      <c r="H14" s="23">
        <v>703.57</v>
      </c>
      <c r="I14" s="24">
        <v>7.14</v>
      </c>
      <c r="J14" s="22">
        <v>34</v>
      </c>
      <c r="K14" s="22">
        <v>11.07</v>
      </c>
      <c r="L14" s="22">
        <v>391.96</v>
      </c>
      <c r="M14" s="22">
        <v>20.3</v>
      </c>
      <c r="N14" s="22">
        <v>20.45</v>
      </c>
      <c r="O14" s="22">
        <v>51.82</v>
      </c>
      <c r="P14" s="23">
        <v>818.57</v>
      </c>
      <c r="Q14" s="24">
        <v>6.33</v>
      </c>
      <c r="R14" s="22">
        <v>38.57</v>
      </c>
      <c r="S14" s="22">
        <v>11.69</v>
      </c>
      <c r="T14" s="22">
        <v>416.62</v>
      </c>
      <c r="U14" s="22">
        <v>21.44</v>
      </c>
      <c r="V14" s="22">
        <v>20.45</v>
      </c>
      <c r="W14" s="22">
        <v>53.58</v>
      </c>
      <c r="X14" s="23">
        <v>928.57</v>
      </c>
      <c r="Y14" s="24">
        <v>5.77</v>
      </c>
    </row>
    <row r="15" spans="1:25" ht="15" customHeight="1" x14ac:dyDescent="0.25">
      <c r="A15" s="17">
        <v>2034</v>
      </c>
      <c r="B15" s="18">
        <v>28.93</v>
      </c>
      <c r="C15" s="18">
        <v>11.07</v>
      </c>
      <c r="D15" s="18">
        <v>387</v>
      </c>
      <c r="E15" s="18">
        <v>20.3</v>
      </c>
      <c r="F15" s="18">
        <v>21</v>
      </c>
      <c r="G15" s="18">
        <v>52.38</v>
      </c>
      <c r="H15" s="19">
        <v>741.43</v>
      </c>
      <c r="I15" s="20">
        <v>7.06</v>
      </c>
      <c r="J15" s="18">
        <v>34</v>
      </c>
      <c r="K15" s="18">
        <v>11.76</v>
      </c>
      <c r="L15" s="18">
        <v>414.2</v>
      </c>
      <c r="M15" s="18">
        <v>21.56</v>
      </c>
      <c r="N15" s="18">
        <v>21</v>
      </c>
      <c r="O15" s="18">
        <v>54.32</v>
      </c>
      <c r="P15" s="19">
        <v>871.43</v>
      </c>
      <c r="Q15" s="20">
        <v>6.23</v>
      </c>
      <c r="R15" s="18">
        <v>38.68</v>
      </c>
      <c r="S15" s="18">
        <v>12.5</v>
      </c>
      <c r="T15" s="18">
        <v>442.8</v>
      </c>
      <c r="U15" s="18">
        <v>22.91</v>
      </c>
      <c r="V15" s="18">
        <v>21</v>
      </c>
      <c r="W15" s="18">
        <v>56.41</v>
      </c>
      <c r="X15" s="19">
        <v>991.43</v>
      </c>
      <c r="Y15" s="20">
        <v>5.69</v>
      </c>
    </row>
    <row r="16" spans="1:25" ht="15" customHeight="1" x14ac:dyDescent="0.25">
      <c r="A16" s="21">
        <v>2035</v>
      </c>
      <c r="B16" s="22">
        <v>28.67</v>
      </c>
      <c r="C16" s="22">
        <v>11.61</v>
      </c>
      <c r="D16" s="22">
        <v>404.05</v>
      </c>
      <c r="E16" s="22">
        <v>21.28</v>
      </c>
      <c r="F16" s="22">
        <v>21.55</v>
      </c>
      <c r="G16" s="22">
        <v>54.44</v>
      </c>
      <c r="H16" s="23">
        <v>779.29</v>
      </c>
      <c r="I16" s="24">
        <v>6.99</v>
      </c>
      <c r="J16" s="22">
        <v>34</v>
      </c>
      <c r="K16" s="22">
        <v>12.43</v>
      </c>
      <c r="L16" s="22">
        <v>435.78</v>
      </c>
      <c r="M16" s="22">
        <v>22.78</v>
      </c>
      <c r="N16" s="22">
        <v>21.55</v>
      </c>
      <c r="O16" s="22">
        <v>56.75</v>
      </c>
      <c r="P16" s="23">
        <v>924.29</v>
      </c>
      <c r="Q16" s="24">
        <v>6.14</v>
      </c>
      <c r="R16" s="22">
        <v>38.78</v>
      </c>
      <c r="S16" s="22">
        <v>13.28</v>
      </c>
      <c r="T16" s="22">
        <v>468.3</v>
      </c>
      <c r="U16" s="22">
        <v>24.35</v>
      </c>
      <c r="V16" s="22">
        <v>21.55</v>
      </c>
      <c r="W16" s="22">
        <v>59.18</v>
      </c>
      <c r="X16" s="23">
        <v>1054.29</v>
      </c>
      <c r="Y16" s="24">
        <v>5.61</v>
      </c>
    </row>
    <row r="17" spans="1:25" ht="15" customHeight="1" x14ac:dyDescent="0.25">
      <c r="A17" s="17">
        <v>2036</v>
      </c>
      <c r="B17" s="18">
        <v>28.43</v>
      </c>
      <c r="C17" s="18">
        <v>12.12</v>
      </c>
      <c r="D17" s="18">
        <v>420.36</v>
      </c>
      <c r="E17" s="18">
        <v>22.22</v>
      </c>
      <c r="F17" s="18">
        <v>22.09</v>
      </c>
      <c r="G17" s="18">
        <v>56.44</v>
      </c>
      <c r="H17" s="19">
        <v>817.14</v>
      </c>
      <c r="I17" s="20">
        <v>6.91</v>
      </c>
      <c r="J17" s="18">
        <v>34</v>
      </c>
      <c r="K17" s="18">
        <v>13.07</v>
      </c>
      <c r="L17" s="18">
        <v>456.7</v>
      </c>
      <c r="M17" s="18">
        <v>23.97</v>
      </c>
      <c r="N17" s="18">
        <v>22.09</v>
      </c>
      <c r="O17" s="18">
        <v>59.13</v>
      </c>
      <c r="P17" s="19">
        <v>977.14</v>
      </c>
      <c r="Q17" s="20">
        <v>6.05</v>
      </c>
      <c r="R17" s="18">
        <v>38.869999999999997</v>
      </c>
      <c r="S17" s="18">
        <v>14.05</v>
      </c>
      <c r="T17" s="18">
        <v>493.12</v>
      </c>
      <c r="U17" s="18">
        <v>25.76</v>
      </c>
      <c r="V17" s="18">
        <v>22.09</v>
      </c>
      <c r="W17" s="18">
        <v>61.9</v>
      </c>
      <c r="X17" s="19">
        <v>1117.1400000000001</v>
      </c>
      <c r="Y17" s="20">
        <v>5.54</v>
      </c>
    </row>
    <row r="18" spans="1:25" ht="15" customHeight="1" x14ac:dyDescent="0.25">
      <c r="A18" s="21">
        <v>2037</v>
      </c>
      <c r="B18" s="22">
        <v>28.22</v>
      </c>
      <c r="C18" s="22">
        <v>12.61</v>
      </c>
      <c r="D18" s="22">
        <v>435.98</v>
      </c>
      <c r="E18" s="22">
        <v>23.12</v>
      </c>
      <c r="F18" s="22">
        <v>22.64</v>
      </c>
      <c r="G18" s="22">
        <v>58.37</v>
      </c>
      <c r="H18" s="23">
        <v>855</v>
      </c>
      <c r="I18" s="24">
        <v>6.83</v>
      </c>
      <c r="J18" s="22">
        <v>34</v>
      </c>
      <c r="K18" s="22">
        <v>13.7</v>
      </c>
      <c r="L18" s="22">
        <v>477</v>
      </c>
      <c r="M18" s="22">
        <v>25.12</v>
      </c>
      <c r="N18" s="22">
        <v>22.64</v>
      </c>
      <c r="O18" s="22">
        <v>61.46</v>
      </c>
      <c r="P18" s="23">
        <v>1030</v>
      </c>
      <c r="Q18" s="24">
        <v>5.97</v>
      </c>
      <c r="R18" s="22">
        <v>38.950000000000003</v>
      </c>
      <c r="S18" s="22">
        <v>14.79</v>
      </c>
      <c r="T18" s="22">
        <v>517.28</v>
      </c>
      <c r="U18" s="22">
        <v>27.12</v>
      </c>
      <c r="V18" s="22">
        <v>22.64</v>
      </c>
      <c r="W18" s="22">
        <v>64.55</v>
      </c>
      <c r="X18" s="23">
        <v>1180</v>
      </c>
      <c r="Y18" s="24">
        <v>5.47</v>
      </c>
    </row>
    <row r="19" spans="1:25" ht="15" customHeight="1" x14ac:dyDescent="0.25">
      <c r="A19" s="17">
        <v>2038</v>
      </c>
      <c r="B19" s="18">
        <v>19.82</v>
      </c>
      <c r="C19" s="18">
        <v>13.08</v>
      </c>
      <c r="D19" s="18">
        <v>442.72</v>
      </c>
      <c r="E19" s="18">
        <v>23.98</v>
      </c>
      <c r="F19" s="18">
        <v>23.18</v>
      </c>
      <c r="G19" s="18">
        <v>60.24</v>
      </c>
      <c r="H19" s="19">
        <v>870</v>
      </c>
      <c r="I19" s="20">
        <v>6.92</v>
      </c>
      <c r="J19" s="18">
        <v>24</v>
      </c>
      <c r="K19" s="18">
        <v>14.31</v>
      </c>
      <c r="L19" s="18">
        <v>486.69</v>
      </c>
      <c r="M19" s="18">
        <v>26.24</v>
      </c>
      <c r="N19" s="18">
        <v>23.18</v>
      </c>
      <c r="O19" s="18">
        <v>63.73</v>
      </c>
      <c r="P19" s="19">
        <v>1053.33</v>
      </c>
      <c r="Q19" s="20">
        <v>6.05</v>
      </c>
      <c r="R19" s="18">
        <v>27.49</v>
      </c>
      <c r="S19" s="18">
        <v>15.52</v>
      </c>
      <c r="T19" s="18">
        <v>529.25</v>
      </c>
      <c r="U19" s="18">
        <v>28.45</v>
      </c>
      <c r="V19" s="18">
        <v>23.18</v>
      </c>
      <c r="W19" s="18">
        <v>67.150000000000006</v>
      </c>
      <c r="X19" s="19">
        <v>1206.67</v>
      </c>
      <c r="Y19" s="20">
        <v>5.56</v>
      </c>
    </row>
    <row r="20" spans="1:25" ht="15" customHeight="1" x14ac:dyDescent="0.25">
      <c r="A20" s="21">
        <v>2039</v>
      </c>
      <c r="B20" s="22">
        <v>19.73</v>
      </c>
      <c r="C20" s="22">
        <v>13.28</v>
      </c>
      <c r="D20" s="22">
        <v>449.17</v>
      </c>
      <c r="E20" s="22">
        <v>24.35</v>
      </c>
      <c r="F20" s="22">
        <v>23.73</v>
      </c>
      <c r="G20" s="22">
        <v>61.36</v>
      </c>
      <c r="H20" s="23">
        <v>885</v>
      </c>
      <c r="I20" s="24">
        <v>6.93</v>
      </c>
      <c r="J20" s="22">
        <v>24</v>
      </c>
      <c r="K20" s="22">
        <v>14.6</v>
      </c>
      <c r="L20" s="22">
        <v>496.09</v>
      </c>
      <c r="M20" s="22">
        <v>26.77</v>
      </c>
      <c r="N20" s="22">
        <v>23.73</v>
      </c>
      <c r="O20" s="22">
        <v>65.099999999999994</v>
      </c>
      <c r="P20" s="23">
        <v>1076.67</v>
      </c>
      <c r="Q20" s="24">
        <v>6.05</v>
      </c>
      <c r="R20" s="22">
        <v>27.49</v>
      </c>
      <c r="S20" s="22">
        <v>15.88</v>
      </c>
      <c r="T20" s="22">
        <v>540.87</v>
      </c>
      <c r="U20" s="22">
        <v>29.11</v>
      </c>
      <c r="V20" s="22">
        <v>23.73</v>
      </c>
      <c r="W20" s="22">
        <v>68.709999999999994</v>
      </c>
      <c r="X20" s="23">
        <v>1233.33</v>
      </c>
      <c r="Y20" s="24">
        <v>5.57</v>
      </c>
    </row>
    <row r="21" spans="1:25" ht="15" customHeight="1" x14ac:dyDescent="0.25">
      <c r="A21" s="25">
        <v>2040</v>
      </c>
      <c r="B21" s="26">
        <v>19.64</v>
      </c>
      <c r="C21" s="26">
        <v>13.47</v>
      </c>
      <c r="D21" s="26">
        <v>455.33</v>
      </c>
      <c r="E21" s="26">
        <v>24.7</v>
      </c>
      <c r="F21" s="26">
        <v>24.27</v>
      </c>
      <c r="G21" s="26">
        <v>62.45</v>
      </c>
      <c r="H21" s="27">
        <v>900</v>
      </c>
      <c r="I21" s="28">
        <v>6.94</v>
      </c>
      <c r="J21" s="29">
        <v>24</v>
      </c>
      <c r="K21" s="29">
        <v>14.88</v>
      </c>
      <c r="L21" s="29">
        <v>505.21</v>
      </c>
      <c r="M21" s="29">
        <v>27.29</v>
      </c>
      <c r="N21" s="29">
        <v>24.27</v>
      </c>
      <c r="O21" s="29">
        <v>66.44</v>
      </c>
      <c r="P21" s="30">
        <v>1100</v>
      </c>
      <c r="Q21" s="31">
        <v>6.04</v>
      </c>
      <c r="R21" s="32">
        <v>27.49</v>
      </c>
      <c r="S21" s="32">
        <v>16.23</v>
      </c>
      <c r="T21" s="32">
        <v>552.13</v>
      </c>
      <c r="U21" s="32">
        <v>29.75</v>
      </c>
      <c r="V21" s="32">
        <v>24.27</v>
      </c>
      <c r="W21" s="32">
        <v>70.25</v>
      </c>
      <c r="X21" s="33">
        <v>1260</v>
      </c>
      <c r="Y21" s="34">
        <v>5.58</v>
      </c>
    </row>
    <row r="22" spans="1:25" ht="15" customHeight="1" x14ac:dyDescent="0.25">
      <c r="A22" s="21">
        <v>2041</v>
      </c>
      <c r="B22" s="22">
        <v>19.649999999999999</v>
      </c>
      <c r="C22" s="22">
        <v>13.66</v>
      </c>
      <c r="D22" s="22">
        <v>461.31</v>
      </c>
      <c r="E22" s="22">
        <v>25.04</v>
      </c>
      <c r="F22" s="22">
        <v>24.82</v>
      </c>
      <c r="G22" s="22">
        <v>63.52</v>
      </c>
      <c r="H22" s="23">
        <v>913.4</v>
      </c>
      <c r="I22" s="24">
        <v>6.95</v>
      </c>
      <c r="J22" s="22">
        <v>24</v>
      </c>
      <c r="K22" s="22">
        <v>15.16</v>
      </c>
      <c r="L22" s="22">
        <v>514.04999999999995</v>
      </c>
      <c r="M22" s="22">
        <v>27.79</v>
      </c>
      <c r="N22" s="22">
        <v>24.82</v>
      </c>
      <c r="O22" s="22">
        <v>67.760000000000005</v>
      </c>
      <c r="P22" s="23">
        <v>1115.8</v>
      </c>
      <c r="Q22" s="24">
        <v>6.07</v>
      </c>
      <c r="R22" s="22">
        <v>27.49</v>
      </c>
      <c r="S22" s="22">
        <v>16.559999999999999</v>
      </c>
      <c r="T22" s="22">
        <v>563.05999999999995</v>
      </c>
      <c r="U22" s="22">
        <v>30.37</v>
      </c>
      <c r="V22" s="22">
        <v>24.82</v>
      </c>
      <c r="W22" s="22">
        <v>71.75</v>
      </c>
      <c r="X22" s="23">
        <v>1278.2</v>
      </c>
      <c r="Y22" s="24">
        <v>5.61</v>
      </c>
    </row>
    <row r="23" spans="1:25" ht="15" customHeight="1" x14ac:dyDescent="0.25">
      <c r="A23" s="17">
        <v>2042</v>
      </c>
      <c r="B23" s="18">
        <v>19.66</v>
      </c>
      <c r="C23" s="18">
        <v>13.84</v>
      </c>
      <c r="D23" s="18">
        <v>467.13</v>
      </c>
      <c r="E23" s="18">
        <v>25.37</v>
      </c>
      <c r="F23" s="18">
        <v>25.36</v>
      </c>
      <c r="G23" s="18">
        <v>64.58</v>
      </c>
      <c r="H23" s="19">
        <v>926.8</v>
      </c>
      <c r="I23" s="20">
        <v>6.97</v>
      </c>
      <c r="J23" s="18">
        <v>24</v>
      </c>
      <c r="K23" s="18">
        <v>15.42</v>
      </c>
      <c r="L23" s="18">
        <v>522.63</v>
      </c>
      <c r="M23" s="18">
        <v>28.27</v>
      </c>
      <c r="N23" s="18">
        <v>25.36</v>
      </c>
      <c r="O23" s="18">
        <v>69.06</v>
      </c>
      <c r="P23" s="19">
        <v>1131.5999999999999</v>
      </c>
      <c r="Q23" s="20">
        <v>6.1</v>
      </c>
      <c r="R23" s="18">
        <v>27.5</v>
      </c>
      <c r="S23" s="18">
        <v>16.89</v>
      </c>
      <c r="T23" s="18">
        <v>573.66999999999996</v>
      </c>
      <c r="U23" s="18">
        <v>30.97</v>
      </c>
      <c r="V23" s="18">
        <v>25.36</v>
      </c>
      <c r="W23" s="18">
        <v>73.22</v>
      </c>
      <c r="X23" s="19">
        <v>1296.4000000000001</v>
      </c>
      <c r="Y23" s="20">
        <v>5.65</v>
      </c>
    </row>
    <row r="24" spans="1:25" ht="15" customHeight="1" x14ac:dyDescent="0.25">
      <c r="A24" s="21">
        <v>2043</v>
      </c>
      <c r="B24" s="22">
        <v>19.670000000000002</v>
      </c>
      <c r="C24" s="22">
        <v>14.01</v>
      </c>
      <c r="D24" s="22">
        <v>472.78</v>
      </c>
      <c r="E24" s="22">
        <v>25.69</v>
      </c>
      <c r="F24" s="22">
        <v>25.91</v>
      </c>
      <c r="G24" s="22">
        <v>65.62</v>
      </c>
      <c r="H24" s="23">
        <v>940.2</v>
      </c>
      <c r="I24" s="24">
        <v>6.98</v>
      </c>
      <c r="J24" s="22">
        <v>24</v>
      </c>
      <c r="K24" s="22">
        <v>15.68</v>
      </c>
      <c r="L24" s="22">
        <v>530.95000000000005</v>
      </c>
      <c r="M24" s="22">
        <v>28.74</v>
      </c>
      <c r="N24" s="22">
        <v>25.91</v>
      </c>
      <c r="O24" s="22">
        <v>70.33</v>
      </c>
      <c r="P24" s="23">
        <v>1147.4000000000001</v>
      </c>
      <c r="Q24" s="24">
        <v>6.13</v>
      </c>
      <c r="R24" s="22">
        <v>27.5</v>
      </c>
      <c r="S24" s="22">
        <v>17.21</v>
      </c>
      <c r="T24" s="22">
        <v>583.95000000000005</v>
      </c>
      <c r="U24" s="22">
        <v>31.55</v>
      </c>
      <c r="V24" s="22">
        <v>25.91</v>
      </c>
      <c r="W24" s="22">
        <v>74.67</v>
      </c>
      <c r="X24" s="23">
        <v>1314.6</v>
      </c>
      <c r="Y24" s="24">
        <v>5.68</v>
      </c>
    </row>
    <row r="25" spans="1:25" ht="15" customHeight="1" x14ac:dyDescent="0.25">
      <c r="A25" s="17">
        <v>2044</v>
      </c>
      <c r="B25" s="18">
        <v>19.68</v>
      </c>
      <c r="C25" s="18">
        <v>14.18</v>
      </c>
      <c r="D25" s="18">
        <v>478.27</v>
      </c>
      <c r="E25" s="18">
        <v>26</v>
      </c>
      <c r="F25" s="18">
        <v>26.45</v>
      </c>
      <c r="G25" s="18">
        <v>66.64</v>
      </c>
      <c r="H25" s="19">
        <v>953.6</v>
      </c>
      <c r="I25" s="20">
        <v>6.99</v>
      </c>
      <c r="J25" s="18">
        <v>24</v>
      </c>
      <c r="K25" s="18">
        <v>15.93</v>
      </c>
      <c r="L25" s="18">
        <v>539.02</v>
      </c>
      <c r="M25" s="18">
        <v>29.2</v>
      </c>
      <c r="N25" s="18">
        <v>26.45</v>
      </c>
      <c r="O25" s="18">
        <v>71.59</v>
      </c>
      <c r="P25" s="19">
        <v>1163.2</v>
      </c>
      <c r="Q25" s="20">
        <v>6.15</v>
      </c>
      <c r="R25" s="18">
        <v>27.5</v>
      </c>
      <c r="S25" s="18">
        <v>17.52</v>
      </c>
      <c r="T25" s="18">
        <v>593.92999999999995</v>
      </c>
      <c r="U25" s="18">
        <v>32.119999999999997</v>
      </c>
      <c r="V25" s="18">
        <v>26.45</v>
      </c>
      <c r="W25" s="18">
        <v>76.09</v>
      </c>
      <c r="X25" s="19">
        <v>1332.8</v>
      </c>
      <c r="Y25" s="20">
        <v>5.71</v>
      </c>
    </row>
    <row r="26" spans="1:25" ht="15" customHeight="1" x14ac:dyDescent="0.25">
      <c r="A26" s="25">
        <v>2045</v>
      </c>
      <c r="B26" s="26">
        <v>19.68</v>
      </c>
      <c r="C26" s="26">
        <v>14.35</v>
      </c>
      <c r="D26" s="26">
        <v>483.61</v>
      </c>
      <c r="E26" s="26">
        <v>26.31</v>
      </c>
      <c r="F26" s="26">
        <v>27</v>
      </c>
      <c r="G26" s="26">
        <v>67.650000000000006</v>
      </c>
      <c r="H26" s="27">
        <v>967</v>
      </c>
      <c r="I26" s="28">
        <v>7</v>
      </c>
      <c r="J26" s="29">
        <v>24</v>
      </c>
      <c r="K26" s="29">
        <v>16.170000000000002</v>
      </c>
      <c r="L26" s="29">
        <v>546.85</v>
      </c>
      <c r="M26" s="29">
        <v>29.65</v>
      </c>
      <c r="N26" s="29">
        <v>27</v>
      </c>
      <c r="O26" s="29">
        <v>72.819999999999993</v>
      </c>
      <c r="P26" s="30">
        <v>1179</v>
      </c>
      <c r="Q26" s="31">
        <v>6.18</v>
      </c>
      <c r="R26" s="32">
        <v>27.5</v>
      </c>
      <c r="S26" s="32">
        <v>17.82</v>
      </c>
      <c r="T26" s="32">
        <v>603.62</v>
      </c>
      <c r="U26" s="32">
        <v>32.67</v>
      </c>
      <c r="V26" s="32">
        <v>27</v>
      </c>
      <c r="W26" s="32">
        <v>77.48</v>
      </c>
      <c r="X26" s="33">
        <v>1351</v>
      </c>
      <c r="Y26" s="34">
        <v>5.74</v>
      </c>
    </row>
    <row r="27" spans="1:25" ht="15" customHeight="1" x14ac:dyDescent="0.25">
      <c r="A27" s="17">
        <v>2046</v>
      </c>
      <c r="B27" s="18">
        <v>14.76</v>
      </c>
      <c r="C27" s="18">
        <v>14.51</v>
      </c>
      <c r="D27" s="18">
        <v>483.86</v>
      </c>
      <c r="E27" s="18">
        <v>26.6</v>
      </c>
      <c r="F27" s="18">
        <v>27</v>
      </c>
      <c r="G27" s="18">
        <v>68.11</v>
      </c>
      <c r="H27" s="19">
        <v>973.6</v>
      </c>
      <c r="I27" s="20">
        <v>7</v>
      </c>
      <c r="J27" s="18">
        <v>18</v>
      </c>
      <c r="K27" s="18">
        <v>16.41</v>
      </c>
      <c r="L27" s="18">
        <v>548.45000000000005</v>
      </c>
      <c r="M27" s="18">
        <v>30.08</v>
      </c>
      <c r="N27" s="18">
        <v>27</v>
      </c>
      <c r="O27" s="18">
        <v>73.48</v>
      </c>
      <c r="P27" s="19">
        <v>1187.2</v>
      </c>
      <c r="Q27" s="20">
        <v>6.19</v>
      </c>
      <c r="R27" s="18">
        <v>20.63</v>
      </c>
      <c r="S27" s="18">
        <v>18.11</v>
      </c>
      <c r="T27" s="18">
        <v>606.14</v>
      </c>
      <c r="U27" s="18">
        <v>33.200000000000003</v>
      </c>
      <c r="V27" s="18">
        <v>27</v>
      </c>
      <c r="W27" s="18">
        <v>78.31</v>
      </c>
      <c r="X27" s="19">
        <v>1360.8</v>
      </c>
      <c r="Y27" s="20">
        <v>5.75</v>
      </c>
    </row>
    <row r="28" spans="1:25" ht="15" customHeight="1" x14ac:dyDescent="0.25">
      <c r="A28" s="21">
        <v>2047</v>
      </c>
      <c r="B28" s="22">
        <v>14.76</v>
      </c>
      <c r="C28" s="22">
        <v>14.52</v>
      </c>
      <c r="D28" s="22">
        <v>484.11</v>
      </c>
      <c r="E28" s="22">
        <v>26.61</v>
      </c>
      <c r="F28" s="22">
        <v>27</v>
      </c>
      <c r="G28" s="22">
        <v>68.13</v>
      </c>
      <c r="H28" s="23">
        <v>980.2</v>
      </c>
      <c r="I28" s="24">
        <v>6.95</v>
      </c>
      <c r="J28" s="22">
        <v>18</v>
      </c>
      <c r="K28" s="22">
        <v>16.45</v>
      </c>
      <c r="L28" s="22">
        <v>549.99</v>
      </c>
      <c r="M28" s="22">
        <v>30.16</v>
      </c>
      <c r="N28" s="22">
        <v>27</v>
      </c>
      <c r="O28" s="22">
        <v>73.62</v>
      </c>
      <c r="P28" s="23">
        <v>1195.4000000000001</v>
      </c>
      <c r="Q28" s="24">
        <v>6.16</v>
      </c>
      <c r="R28" s="22">
        <v>20.64</v>
      </c>
      <c r="S28" s="22">
        <v>18.18</v>
      </c>
      <c r="T28" s="22">
        <v>608.59</v>
      </c>
      <c r="U28" s="22">
        <v>33.340000000000003</v>
      </c>
      <c r="V28" s="22">
        <v>27</v>
      </c>
      <c r="W28" s="22">
        <v>78.52</v>
      </c>
      <c r="X28" s="23">
        <v>1370.6</v>
      </c>
      <c r="Y28" s="24">
        <v>5.73</v>
      </c>
    </row>
    <row r="29" spans="1:25" ht="15" customHeight="1" x14ac:dyDescent="0.25">
      <c r="A29" s="17">
        <v>2048</v>
      </c>
      <c r="B29" s="18">
        <v>14.76</v>
      </c>
      <c r="C29" s="18">
        <v>14.52</v>
      </c>
      <c r="D29" s="18">
        <v>484.34</v>
      </c>
      <c r="E29" s="18">
        <v>26.63</v>
      </c>
      <c r="F29" s="18">
        <v>27</v>
      </c>
      <c r="G29" s="18">
        <v>68.150000000000006</v>
      </c>
      <c r="H29" s="19">
        <v>986.8</v>
      </c>
      <c r="I29" s="20">
        <v>6.91</v>
      </c>
      <c r="J29" s="18">
        <v>18</v>
      </c>
      <c r="K29" s="18">
        <v>16.5</v>
      </c>
      <c r="L29" s="18">
        <v>551.49</v>
      </c>
      <c r="M29" s="18">
        <v>30.25</v>
      </c>
      <c r="N29" s="18">
        <v>27</v>
      </c>
      <c r="O29" s="18">
        <v>73.75</v>
      </c>
      <c r="P29" s="19">
        <v>1203.5999999999999</v>
      </c>
      <c r="Q29" s="20">
        <v>6.13</v>
      </c>
      <c r="R29" s="18">
        <v>20.64</v>
      </c>
      <c r="S29" s="18">
        <v>18.260000000000002</v>
      </c>
      <c r="T29" s="18">
        <v>610.98</v>
      </c>
      <c r="U29" s="18">
        <v>33.47</v>
      </c>
      <c r="V29" s="18">
        <v>27</v>
      </c>
      <c r="W29" s="18">
        <v>78.73</v>
      </c>
      <c r="X29" s="19">
        <v>1380.4</v>
      </c>
      <c r="Y29" s="20">
        <v>5.7</v>
      </c>
    </row>
    <row r="30" spans="1:25" ht="15" customHeight="1" x14ac:dyDescent="0.25">
      <c r="A30" s="21">
        <v>2049</v>
      </c>
      <c r="B30" s="22">
        <v>14.76</v>
      </c>
      <c r="C30" s="22">
        <v>14.53</v>
      </c>
      <c r="D30" s="22">
        <v>484.57</v>
      </c>
      <c r="E30" s="22">
        <v>26.64</v>
      </c>
      <c r="F30" s="22">
        <v>27</v>
      </c>
      <c r="G30" s="22">
        <v>68.17</v>
      </c>
      <c r="H30" s="23">
        <v>993.4</v>
      </c>
      <c r="I30" s="24">
        <v>6.86</v>
      </c>
      <c r="J30" s="22">
        <v>18</v>
      </c>
      <c r="K30" s="22">
        <v>16.54</v>
      </c>
      <c r="L30" s="22">
        <v>552.95000000000005</v>
      </c>
      <c r="M30" s="22">
        <v>30.33</v>
      </c>
      <c r="N30" s="22">
        <v>27</v>
      </c>
      <c r="O30" s="22">
        <v>73.88</v>
      </c>
      <c r="P30" s="23">
        <v>1211.8</v>
      </c>
      <c r="Q30" s="24">
        <v>6.1</v>
      </c>
      <c r="R30" s="22">
        <v>20.65</v>
      </c>
      <c r="S30" s="22">
        <v>18.329999999999998</v>
      </c>
      <c r="T30" s="22">
        <v>613.29999999999995</v>
      </c>
      <c r="U30" s="22">
        <v>33.6</v>
      </c>
      <c r="V30" s="22">
        <v>27</v>
      </c>
      <c r="W30" s="22">
        <v>78.930000000000007</v>
      </c>
      <c r="X30" s="23">
        <v>1390.2</v>
      </c>
      <c r="Y30" s="24">
        <v>5.68</v>
      </c>
    </row>
    <row r="31" spans="1:25" ht="15" customHeight="1" x14ac:dyDescent="0.25">
      <c r="A31" s="25">
        <v>2050</v>
      </c>
      <c r="B31" s="26">
        <v>14.75</v>
      </c>
      <c r="C31" s="26">
        <v>14.54</v>
      </c>
      <c r="D31" s="26">
        <v>484.78</v>
      </c>
      <c r="E31" s="26">
        <v>26.65</v>
      </c>
      <c r="F31" s="26">
        <v>27</v>
      </c>
      <c r="G31" s="26">
        <v>68.19</v>
      </c>
      <c r="H31" s="27">
        <v>1000</v>
      </c>
      <c r="I31" s="28">
        <v>6.82</v>
      </c>
      <c r="J31" s="29">
        <v>18</v>
      </c>
      <c r="K31" s="29">
        <v>16.59</v>
      </c>
      <c r="L31" s="29">
        <v>554.36</v>
      </c>
      <c r="M31" s="29">
        <v>30.41</v>
      </c>
      <c r="N31" s="29">
        <v>27</v>
      </c>
      <c r="O31" s="29">
        <v>74</v>
      </c>
      <c r="P31" s="30">
        <v>1220</v>
      </c>
      <c r="Q31" s="31">
        <v>6.07</v>
      </c>
      <c r="R31" s="32">
        <v>20.66</v>
      </c>
      <c r="S31" s="32">
        <v>18.399999999999999</v>
      </c>
      <c r="T31" s="32">
        <v>615.55999999999995</v>
      </c>
      <c r="U31" s="32">
        <v>33.729999999999997</v>
      </c>
      <c r="V31" s="32">
        <v>27</v>
      </c>
      <c r="W31" s="32">
        <v>79.13</v>
      </c>
      <c r="X31" s="33">
        <v>1400</v>
      </c>
      <c r="Y31" s="34">
        <v>5.65</v>
      </c>
    </row>
  </sheetData>
  <mergeCells count="4">
    <mergeCell ref="R2:Y2"/>
    <mergeCell ref="J2:Q2"/>
    <mergeCell ref="B2:I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ACC6"/>
  </sheetPr>
  <dimension ref="A1:AC26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S15" sqref="S15"/>
    </sheetView>
  </sheetViews>
  <sheetFormatPr defaultRowHeight="15" x14ac:dyDescent="0.25"/>
  <cols>
    <col min="1" max="1" width="30" customWidth="1"/>
    <col min="2" max="3" width="7.42578125" customWidth="1"/>
    <col min="4" max="4" width="10.42578125" customWidth="1"/>
    <col min="5" max="5" width="16.42578125" customWidth="1"/>
    <col min="6" max="8" width="7.42578125" customWidth="1"/>
    <col min="9" max="9" width="13.28515625" customWidth="1"/>
    <col min="10" max="16" width="7.42578125" customWidth="1"/>
    <col min="17" max="17" width="13.42578125" customWidth="1"/>
    <col min="18" max="18" width="11.7109375" customWidth="1"/>
    <col min="19" max="19" width="13.140625" customWidth="1"/>
    <col min="20" max="23" width="7.42578125" customWidth="1"/>
    <col min="24" max="24" width="10.140625" bestFit="1" customWidth="1"/>
    <col min="25" max="28" width="7.42578125" customWidth="1"/>
    <col min="29" max="29" width="10.140625" bestFit="1" customWidth="1"/>
    <col min="30" max="30" width="7.42578125" customWidth="1"/>
  </cols>
  <sheetData>
    <row r="1" spans="1:29" ht="24" customHeight="1" x14ac:dyDescent="0.25">
      <c r="A1" s="61" t="s">
        <v>72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</row>
    <row r="2" spans="1:29" ht="16.149999999999999" customHeight="1" x14ac:dyDescent="0.25">
      <c r="A2" s="9"/>
      <c r="B2" s="13">
        <v>2023</v>
      </c>
      <c r="C2" s="13">
        <v>2024</v>
      </c>
      <c r="D2" s="13">
        <v>2025</v>
      </c>
      <c r="E2" s="35">
        <v>2026</v>
      </c>
      <c r="F2" s="35">
        <v>2027</v>
      </c>
      <c r="G2" s="35">
        <v>2028</v>
      </c>
      <c r="H2" s="35">
        <v>2029</v>
      </c>
      <c r="I2" s="36">
        <v>2030</v>
      </c>
      <c r="J2" s="35">
        <v>2031</v>
      </c>
      <c r="K2" s="35">
        <v>2032</v>
      </c>
      <c r="L2" s="35">
        <v>2033</v>
      </c>
      <c r="M2" s="35">
        <v>2034</v>
      </c>
      <c r="N2" s="35">
        <v>2035</v>
      </c>
      <c r="O2" s="35">
        <v>2036</v>
      </c>
      <c r="P2" s="35">
        <v>2037</v>
      </c>
      <c r="Q2" s="35">
        <v>2038</v>
      </c>
      <c r="R2" s="35">
        <v>2039</v>
      </c>
      <c r="S2" s="36">
        <v>2040</v>
      </c>
      <c r="T2" s="35">
        <v>2041</v>
      </c>
      <c r="U2" s="35">
        <v>2042</v>
      </c>
      <c r="V2" s="35">
        <v>2043</v>
      </c>
      <c r="W2" s="35">
        <v>2044</v>
      </c>
      <c r="X2" s="36">
        <v>2045</v>
      </c>
      <c r="Y2" s="35">
        <v>2046</v>
      </c>
      <c r="Z2" s="35">
        <v>2047</v>
      </c>
      <c r="AA2" s="35">
        <v>2048</v>
      </c>
      <c r="AB2" s="35">
        <v>2049</v>
      </c>
      <c r="AC2" s="36">
        <v>2050</v>
      </c>
    </row>
    <row r="3" spans="1:29" ht="19.899999999999999" customHeight="1" x14ac:dyDescent="0.25">
      <c r="A3" s="58" t="s">
        <v>73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29" ht="15" customHeight="1" x14ac:dyDescent="0.25">
      <c r="A4" s="37" t="s">
        <v>74</v>
      </c>
      <c r="B4" s="16">
        <v>5.87</v>
      </c>
      <c r="C4" s="16">
        <v>6.07</v>
      </c>
      <c r="D4" s="16">
        <v>6.3</v>
      </c>
      <c r="E4" s="38">
        <v>6.41</v>
      </c>
      <c r="F4" s="38">
        <v>6.57</v>
      </c>
      <c r="G4" s="38">
        <v>6.72</v>
      </c>
      <c r="H4" s="38">
        <v>7.15</v>
      </c>
      <c r="I4" s="38">
        <v>7.34</v>
      </c>
      <c r="J4" s="38">
        <v>7.28</v>
      </c>
      <c r="K4" s="38">
        <v>7.21</v>
      </c>
      <c r="L4" s="38">
        <v>7.14</v>
      </c>
      <c r="M4" s="38">
        <v>7.06</v>
      </c>
      <c r="N4" s="38">
        <v>6.99</v>
      </c>
      <c r="O4" s="38">
        <v>6.91</v>
      </c>
      <c r="P4" s="38">
        <v>6.83</v>
      </c>
      <c r="Q4" s="38">
        <v>6.92</v>
      </c>
      <c r="R4" s="38">
        <v>6.93</v>
      </c>
      <c r="S4" s="38">
        <v>6.94</v>
      </c>
      <c r="T4" s="38">
        <v>6.95</v>
      </c>
      <c r="U4" s="38">
        <v>6.97</v>
      </c>
      <c r="V4" s="38">
        <v>6.98</v>
      </c>
      <c r="W4" s="38">
        <v>6.99</v>
      </c>
      <c r="X4" s="38">
        <v>7</v>
      </c>
      <c r="Y4" s="38">
        <v>7</v>
      </c>
      <c r="Z4" s="38">
        <v>6.95</v>
      </c>
      <c r="AA4" s="38">
        <v>6.91</v>
      </c>
      <c r="AB4" s="38">
        <v>6.86</v>
      </c>
      <c r="AC4" s="38">
        <v>6.82</v>
      </c>
    </row>
    <row r="5" spans="1:29" ht="13.9" customHeight="1" x14ac:dyDescent="0.25">
      <c r="A5" s="39" t="s">
        <v>75</v>
      </c>
      <c r="B5" s="40">
        <v>1.29E-2</v>
      </c>
      <c r="C5" s="40">
        <v>1.34E-2</v>
      </c>
      <c r="D5" s="40">
        <v>1.3899999999999999E-2</v>
      </c>
      <c r="E5" s="41">
        <v>1.41E-2</v>
      </c>
      <c r="F5" s="41">
        <v>1.4500000000000001E-2</v>
      </c>
      <c r="G5" s="41">
        <v>1.4800000000000001E-2</v>
      </c>
      <c r="H5" s="41">
        <v>1.5699999999999999E-2</v>
      </c>
      <c r="I5" s="42">
        <v>1.6199999999999999E-2</v>
      </c>
      <c r="J5" s="41">
        <v>1.6E-2</v>
      </c>
      <c r="K5" s="41">
        <v>1.5900000000000001E-2</v>
      </c>
      <c r="L5" s="41">
        <v>1.5699999999999999E-2</v>
      </c>
      <c r="M5" s="41">
        <v>1.55E-2</v>
      </c>
      <c r="N5" s="41">
        <v>1.54E-2</v>
      </c>
      <c r="O5" s="41">
        <v>1.52E-2</v>
      </c>
      <c r="P5" s="41">
        <v>1.4999999999999999E-2</v>
      </c>
      <c r="Q5" s="41">
        <v>1.52E-2</v>
      </c>
      <c r="R5" s="41">
        <v>1.5299999999999999E-2</v>
      </c>
      <c r="S5" s="42">
        <v>1.5299999999999999E-2</v>
      </c>
      <c r="T5" s="41">
        <v>1.5299999999999999E-2</v>
      </c>
      <c r="U5" s="41">
        <v>1.5299999999999999E-2</v>
      </c>
      <c r="V5" s="41">
        <v>1.54E-2</v>
      </c>
      <c r="W5" s="41">
        <v>1.54E-2</v>
      </c>
      <c r="X5" s="42">
        <v>1.54E-2</v>
      </c>
      <c r="Y5" s="41">
        <v>1.54E-2</v>
      </c>
      <c r="Z5" s="41">
        <v>1.5299999999999999E-2</v>
      </c>
      <c r="AA5" s="41">
        <v>1.52E-2</v>
      </c>
      <c r="AB5" s="41">
        <v>1.5100000000000001E-2</v>
      </c>
      <c r="AC5" s="42">
        <v>1.4999999999999999E-2</v>
      </c>
    </row>
    <row r="6" spans="1:29" ht="13.9" customHeight="1" x14ac:dyDescent="0.25">
      <c r="A6" s="39" t="s">
        <v>76</v>
      </c>
      <c r="B6" s="40">
        <v>2.35E-2</v>
      </c>
      <c r="C6" s="40">
        <v>2.4299999999999999E-2</v>
      </c>
      <c r="D6" s="40">
        <v>2.52E-2</v>
      </c>
      <c r="E6" s="41">
        <v>2.5600000000000001E-2</v>
      </c>
      <c r="F6" s="41">
        <v>2.63E-2</v>
      </c>
      <c r="G6" s="41">
        <v>2.69E-2</v>
      </c>
      <c r="H6" s="41">
        <v>2.86E-2</v>
      </c>
      <c r="I6" s="42">
        <v>2.9399999999999999E-2</v>
      </c>
      <c r="J6" s="41">
        <v>2.9100000000000001E-2</v>
      </c>
      <c r="K6" s="41">
        <v>2.8899999999999999E-2</v>
      </c>
      <c r="L6" s="41">
        <v>2.86E-2</v>
      </c>
      <c r="M6" s="41">
        <v>2.8299999999999999E-2</v>
      </c>
      <c r="N6" s="41">
        <v>2.7900000000000001E-2</v>
      </c>
      <c r="O6" s="41">
        <v>2.76E-2</v>
      </c>
      <c r="P6" s="41">
        <v>2.7300000000000001E-2</v>
      </c>
      <c r="Q6" s="41">
        <v>2.7699999999999999E-2</v>
      </c>
      <c r="R6" s="41">
        <v>2.7699999999999999E-2</v>
      </c>
      <c r="S6" s="42">
        <v>2.7799999999999998E-2</v>
      </c>
      <c r="T6" s="41">
        <v>2.7799999999999998E-2</v>
      </c>
      <c r="U6" s="41">
        <v>2.7900000000000001E-2</v>
      </c>
      <c r="V6" s="41">
        <v>2.7900000000000001E-2</v>
      </c>
      <c r="W6" s="41">
        <v>2.8000000000000001E-2</v>
      </c>
      <c r="X6" s="42">
        <v>2.8000000000000001E-2</v>
      </c>
      <c r="Y6" s="41">
        <v>2.8000000000000001E-2</v>
      </c>
      <c r="Z6" s="41">
        <v>2.7799999999999998E-2</v>
      </c>
      <c r="AA6" s="41">
        <v>2.76E-2</v>
      </c>
      <c r="AB6" s="41">
        <v>2.7400000000000001E-2</v>
      </c>
      <c r="AC6" s="42">
        <v>2.7300000000000001E-2</v>
      </c>
    </row>
    <row r="7" spans="1:29" ht="13.9" customHeight="1" x14ac:dyDescent="0.25">
      <c r="A7" s="39" t="s">
        <v>77</v>
      </c>
      <c r="B7" s="40">
        <v>3.6999999999999998E-2</v>
      </c>
      <c r="C7" s="40">
        <v>3.8199999999999998E-2</v>
      </c>
      <c r="D7" s="40">
        <v>3.9699999999999999E-2</v>
      </c>
      <c r="E7" s="41">
        <v>4.0399999999999998E-2</v>
      </c>
      <c r="F7" s="41">
        <v>4.1399999999999999E-2</v>
      </c>
      <c r="G7" s="41">
        <v>4.2299999999999997E-2</v>
      </c>
      <c r="H7" s="41">
        <v>4.4999999999999998E-2</v>
      </c>
      <c r="I7" s="42">
        <v>4.6300000000000001E-2</v>
      </c>
      <c r="J7" s="41">
        <v>4.5900000000000003E-2</v>
      </c>
      <c r="K7" s="41">
        <v>4.5499999999999999E-2</v>
      </c>
      <c r="L7" s="41">
        <v>4.4999999999999998E-2</v>
      </c>
      <c r="M7" s="41">
        <v>4.4499999999999998E-2</v>
      </c>
      <c r="N7" s="41">
        <v>4.3999999999999997E-2</v>
      </c>
      <c r="O7" s="41">
        <v>4.3499999999999997E-2</v>
      </c>
      <c r="P7" s="41">
        <v>4.2999999999999997E-2</v>
      </c>
      <c r="Q7" s="41">
        <v>4.36E-2</v>
      </c>
      <c r="R7" s="41">
        <v>4.3700000000000003E-2</v>
      </c>
      <c r="S7" s="42">
        <v>4.3700000000000003E-2</v>
      </c>
      <c r="T7" s="41">
        <v>4.3799999999999999E-2</v>
      </c>
      <c r="U7" s="41">
        <v>4.3900000000000002E-2</v>
      </c>
      <c r="V7" s="41">
        <v>4.3999999999999997E-2</v>
      </c>
      <c r="W7" s="41">
        <v>4.3999999999999997E-2</v>
      </c>
      <c r="X7" s="42">
        <v>4.41E-2</v>
      </c>
      <c r="Y7" s="41">
        <v>4.41E-2</v>
      </c>
      <c r="Z7" s="41">
        <v>4.3799999999999999E-2</v>
      </c>
      <c r="AA7" s="41">
        <v>4.3499999999999997E-2</v>
      </c>
      <c r="AB7" s="41">
        <v>4.3200000000000002E-2</v>
      </c>
      <c r="AC7" s="42">
        <v>4.2999999999999997E-2</v>
      </c>
    </row>
    <row r="8" spans="1:29" ht="13.9" customHeight="1" x14ac:dyDescent="0.25">
      <c r="A8" s="39" t="s">
        <v>78</v>
      </c>
      <c r="B8" s="40">
        <v>5.4600000000000003E-2</v>
      </c>
      <c r="C8" s="40">
        <v>5.6399999999999999E-2</v>
      </c>
      <c r="D8" s="40">
        <v>5.8599999999999999E-2</v>
      </c>
      <c r="E8" s="41">
        <v>5.96E-2</v>
      </c>
      <c r="F8" s="41">
        <v>6.1100000000000002E-2</v>
      </c>
      <c r="G8" s="41">
        <v>6.25E-2</v>
      </c>
      <c r="H8" s="41">
        <v>6.6500000000000004E-2</v>
      </c>
      <c r="I8" s="42">
        <v>6.83E-2</v>
      </c>
      <c r="J8" s="41">
        <v>6.7699999999999996E-2</v>
      </c>
      <c r="K8" s="41">
        <v>6.7100000000000007E-2</v>
      </c>
      <c r="L8" s="41">
        <v>6.6400000000000001E-2</v>
      </c>
      <c r="M8" s="41">
        <v>6.5699999999999995E-2</v>
      </c>
      <c r="N8" s="41">
        <v>6.5000000000000002E-2</v>
      </c>
      <c r="O8" s="41">
        <v>6.4199999999999993E-2</v>
      </c>
      <c r="P8" s="41">
        <v>6.3500000000000001E-2</v>
      </c>
      <c r="Q8" s="41">
        <v>6.4399999999999999E-2</v>
      </c>
      <c r="R8" s="41">
        <v>6.4500000000000002E-2</v>
      </c>
      <c r="S8" s="42">
        <v>6.4500000000000002E-2</v>
      </c>
      <c r="T8" s="41">
        <v>6.4699999999999994E-2</v>
      </c>
      <c r="U8" s="41">
        <v>6.4799999999999996E-2</v>
      </c>
      <c r="V8" s="41">
        <v>6.4899999999999999E-2</v>
      </c>
      <c r="W8" s="41">
        <v>6.5000000000000002E-2</v>
      </c>
      <c r="X8" s="42">
        <v>6.5100000000000005E-2</v>
      </c>
      <c r="Y8" s="41">
        <v>6.5100000000000005E-2</v>
      </c>
      <c r="Z8" s="41">
        <v>6.4600000000000005E-2</v>
      </c>
      <c r="AA8" s="41">
        <v>6.4199999999999993E-2</v>
      </c>
      <c r="AB8" s="41">
        <v>6.3799999999999996E-2</v>
      </c>
      <c r="AC8" s="42">
        <v>6.3399999999999998E-2</v>
      </c>
    </row>
    <row r="9" spans="1:29" ht="13.9" customHeight="1" x14ac:dyDescent="0.25">
      <c r="A9" s="39" t="s">
        <v>79</v>
      </c>
      <c r="B9" s="40">
        <v>7.6399999999999996E-2</v>
      </c>
      <c r="C9" s="40">
        <v>7.8899999999999998E-2</v>
      </c>
      <c r="D9" s="40">
        <v>8.1900000000000001E-2</v>
      </c>
      <c r="E9" s="41">
        <v>8.3299999999999999E-2</v>
      </c>
      <c r="F9" s="41">
        <v>8.5500000000000007E-2</v>
      </c>
      <c r="G9" s="41">
        <v>8.7300000000000003E-2</v>
      </c>
      <c r="H9" s="41">
        <v>9.2899999999999996E-2</v>
      </c>
      <c r="I9" s="42">
        <v>9.5500000000000002E-2</v>
      </c>
      <c r="J9" s="41">
        <v>9.4700000000000006E-2</v>
      </c>
      <c r="K9" s="41">
        <v>9.3799999999999994E-2</v>
      </c>
      <c r="L9" s="41">
        <v>9.2799999999999994E-2</v>
      </c>
      <c r="M9" s="41">
        <v>9.1800000000000007E-2</v>
      </c>
      <c r="N9" s="41">
        <v>9.0800000000000006E-2</v>
      </c>
      <c r="O9" s="41">
        <v>8.9800000000000005E-2</v>
      </c>
      <c r="P9" s="41">
        <v>8.8700000000000001E-2</v>
      </c>
      <c r="Q9" s="41">
        <v>0.09</v>
      </c>
      <c r="R9" s="41">
        <v>9.01E-2</v>
      </c>
      <c r="S9" s="42">
        <v>9.0200000000000002E-2</v>
      </c>
      <c r="T9" s="41">
        <v>9.0399999999999994E-2</v>
      </c>
      <c r="U9" s="41">
        <v>9.06E-2</v>
      </c>
      <c r="V9" s="41">
        <v>9.0700000000000003E-2</v>
      </c>
      <c r="W9" s="41">
        <v>9.0800000000000006E-2</v>
      </c>
      <c r="X9" s="42">
        <v>9.0999999999999998E-2</v>
      </c>
      <c r="Y9" s="41">
        <v>9.0899999999999995E-2</v>
      </c>
      <c r="Z9" s="41">
        <v>9.0399999999999994E-2</v>
      </c>
      <c r="AA9" s="41">
        <v>8.9800000000000005E-2</v>
      </c>
      <c r="AB9" s="41">
        <v>8.9200000000000002E-2</v>
      </c>
      <c r="AC9" s="42">
        <v>8.8599999999999998E-2</v>
      </c>
    </row>
    <row r="10" spans="1:29" ht="4.9000000000000004" customHeight="1" x14ac:dyDescent="0.25"/>
    <row r="11" spans="1:29" ht="19.899999999999999" customHeight="1" x14ac:dyDescent="0.25">
      <c r="A11" s="60" t="s">
        <v>80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</row>
    <row r="12" spans="1:29" ht="15" customHeight="1" x14ac:dyDescent="0.25">
      <c r="A12" s="37" t="s">
        <v>74</v>
      </c>
      <c r="B12" s="16">
        <v>5.87</v>
      </c>
      <c r="C12" s="16">
        <v>6.01</v>
      </c>
      <c r="D12" s="16">
        <v>6.18</v>
      </c>
      <c r="E12" s="38">
        <v>6.16</v>
      </c>
      <c r="F12" s="38">
        <v>6.21</v>
      </c>
      <c r="G12" s="38">
        <v>6.24</v>
      </c>
      <c r="H12" s="38">
        <v>6.56</v>
      </c>
      <c r="I12" s="38">
        <v>6.66</v>
      </c>
      <c r="J12" s="38">
        <v>6.54</v>
      </c>
      <c r="K12" s="38">
        <v>6.43</v>
      </c>
      <c r="L12" s="38">
        <v>6.33</v>
      </c>
      <c r="M12" s="38">
        <v>6.23</v>
      </c>
      <c r="N12" s="38">
        <v>6.14</v>
      </c>
      <c r="O12" s="38">
        <v>6.05</v>
      </c>
      <c r="P12" s="38">
        <v>5.97</v>
      </c>
      <c r="Q12" s="38">
        <v>6.05</v>
      </c>
      <c r="R12" s="38">
        <v>6.05</v>
      </c>
      <c r="S12" s="38">
        <v>6.04</v>
      </c>
      <c r="T12" s="38">
        <v>6.07</v>
      </c>
      <c r="U12" s="38">
        <v>6.1</v>
      </c>
      <c r="V12" s="38">
        <v>6.13</v>
      </c>
      <c r="W12" s="38">
        <v>6.15</v>
      </c>
      <c r="X12" s="38">
        <v>6.18</v>
      </c>
      <c r="Y12" s="38">
        <v>6.19</v>
      </c>
      <c r="Z12" s="38">
        <v>6.16</v>
      </c>
      <c r="AA12" s="38">
        <v>6.13</v>
      </c>
      <c r="AB12" s="38">
        <v>6.1</v>
      </c>
      <c r="AC12" s="38">
        <v>6.07</v>
      </c>
    </row>
    <row r="13" spans="1:29" ht="13.9" customHeight="1" x14ac:dyDescent="0.25">
      <c r="A13" s="39" t="s">
        <v>75</v>
      </c>
      <c r="B13" s="40">
        <v>1.29E-2</v>
      </c>
      <c r="C13" s="40">
        <v>1.32E-2</v>
      </c>
      <c r="D13" s="40">
        <v>1.3599999999999999E-2</v>
      </c>
      <c r="E13" s="41">
        <v>1.3599999999999999E-2</v>
      </c>
      <c r="F13" s="41">
        <v>1.37E-2</v>
      </c>
      <c r="G13" s="41">
        <v>1.37E-2</v>
      </c>
      <c r="H13" s="41">
        <v>1.44E-2</v>
      </c>
      <c r="I13" s="43">
        <v>1.47E-2</v>
      </c>
      <c r="J13" s="41">
        <v>1.44E-2</v>
      </c>
      <c r="K13" s="41">
        <v>1.4200000000000001E-2</v>
      </c>
      <c r="L13" s="41">
        <v>1.3899999999999999E-2</v>
      </c>
      <c r="M13" s="41">
        <v>1.37E-2</v>
      </c>
      <c r="N13" s="41">
        <v>1.35E-2</v>
      </c>
      <c r="O13" s="41">
        <v>1.3299999999999999E-2</v>
      </c>
      <c r="P13" s="41">
        <v>1.3100000000000001E-2</v>
      </c>
      <c r="Q13" s="41">
        <v>1.3299999999999999E-2</v>
      </c>
      <c r="R13" s="41">
        <v>1.3299999999999999E-2</v>
      </c>
      <c r="S13" s="43">
        <v>1.3299999999999999E-2</v>
      </c>
      <c r="T13" s="41">
        <v>1.34E-2</v>
      </c>
      <c r="U13" s="41">
        <v>1.34E-2</v>
      </c>
      <c r="V13" s="41">
        <v>1.35E-2</v>
      </c>
      <c r="W13" s="41">
        <v>1.35E-2</v>
      </c>
      <c r="X13" s="43">
        <v>1.3599999999999999E-2</v>
      </c>
      <c r="Y13" s="41">
        <v>1.3599999999999999E-2</v>
      </c>
      <c r="Z13" s="41">
        <v>1.35E-2</v>
      </c>
      <c r="AA13" s="41">
        <v>1.35E-2</v>
      </c>
      <c r="AB13" s="41">
        <v>1.34E-2</v>
      </c>
      <c r="AC13" s="43">
        <v>1.3299999999999999E-2</v>
      </c>
    </row>
    <row r="14" spans="1:29" ht="13.9" customHeight="1" x14ac:dyDescent="0.25">
      <c r="A14" s="39" t="s">
        <v>76</v>
      </c>
      <c r="B14" s="40">
        <v>2.35E-2</v>
      </c>
      <c r="C14" s="40">
        <v>2.4E-2</v>
      </c>
      <c r="D14" s="40">
        <v>2.47E-2</v>
      </c>
      <c r="E14" s="41">
        <v>2.47E-2</v>
      </c>
      <c r="F14" s="41">
        <v>2.4799999999999999E-2</v>
      </c>
      <c r="G14" s="41">
        <v>2.5000000000000001E-2</v>
      </c>
      <c r="H14" s="41">
        <v>2.6200000000000001E-2</v>
      </c>
      <c r="I14" s="43">
        <v>2.6599999999999999E-2</v>
      </c>
      <c r="J14" s="41">
        <v>2.6200000000000001E-2</v>
      </c>
      <c r="K14" s="41">
        <v>2.5700000000000001E-2</v>
      </c>
      <c r="L14" s="41">
        <v>2.53E-2</v>
      </c>
      <c r="M14" s="41">
        <v>2.4899999999999999E-2</v>
      </c>
      <c r="N14" s="41">
        <v>2.46E-2</v>
      </c>
      <c r="O14" s="41">
        <v>2.4199999999999999E-2</v>
      </c>
      <c r="P14" s="41">
        <v>2.3900000000000001E-2</v>
      </c>
      <c r="Q14" s="41">
        <v>2.4199999999999999E-2</v>
      </c>
      <c r="R14" s="41">
        <v>2.4199999999999999E-2</v>
      </c>
      <c r="S14" s="43">
        <v>2.4199999999999999E-2</v>
      </c>
      <c r="T14" s="41">
        <v>2.4299999999999999E-2</v>
      </c>
      <c r="U14" s="41">
        <v>2.4400000000000002E-2</v>
      </c>
      <c r="V14" s="41">
        <v>2.4500000000000001E-2</v>
      </c>
      <c r="W14" s="41">
        <v>2.46E-2</v>
      </c>
      <c r="X14" s="43">
        <v>2.47E-2</v>
      </c>
      <c r="Y14" s="41">
        <v>2.4799999999999999E-2</v>
      </c>
      <c r="Z14" s="41">
        <v>2.46E-2</v>
      </c>
      <c r="AA14" s="41">
        <v>2.4500000000000001E-2</v>
      </c>
      <c r="AB14" s="41">
        <v>2.4400000000000002E-2</v>
      </c>
      <c r="AC14" s="43">
        <v>2.4299999999999999E-2</v>
      </c>
    </row>
    <row r="15" spans="1:29" ht="13.9" customHeight="1" x14ac:dyDescent="0.25">
      <c r="A15" s="39" t="s">
        <v>77</v>
      </c>
      <c r="B15" s="40">
        <v>3.6999999999999998E-2</v>
      </c>
      <c r="C15" s="40">
        <v>3.7900000000000003E-2</v>
      </c>
      <c r="D15" s="40">
        <v>3.9E-2</v>
      </c>
      <c r="E15" s="41">
        <v>3.8800000000000001E-2</v>
      </c>
      <c r="F15" s="41">
        <v>3.9100000000000003E-2</v>
      </c>
      <c r="G15" s="41">
        <v>3.9300000000000002E-2</v>
      </c>
      <c r="H15" s="41">
        <v>4.1300000000000003E-2</v>
      </c>
      <c r="I15" s="43">
        <v>4.2000000000000003E-2</v>
      </c>
      <c r="J15" s="41">
        <v>4.1200000000000001E-2</v>
      </c>
      <c r="K15" s="41">
        <v>4.0500000000000001E-2</v>
      </c>
      <c r="L15" s="41">
        <v>3.9899999999999998E-2</v>
      </c>
      <c r="M15" s="41">
        <v>3.9300000000000002E-2</v>
      </c>
      <c r="N15" s="41">
        <v>3.8699999999999998E-2</v>
      </c>
      <c r="O15" s="41">
        <v>3.8100000000000002E-2</v>
      </c>
      <c r="P15" s="41">
        <v>3.7600000000000001E-2</v>
      </c>
      <c r="Q15" s="41">
        <v>3.8100000000000002E-2</v>
      </c>
      <c r="R15" s="41">
        <v>3.8100000000000002E-2</v>
      </c>
      <c r="S15" s="43">
        <v>3.8100000000000002E-2</v>
      </c>
      <c r="T15" s="41">
        <v>3.8300000000000001E-2</v>
      </c>
      <c r="U15" s="41">
        <v>3.8399999999999997E-2</v>
      </c>
      <c r="V15" s="41">
        <v>3.8600000000000002E-2</v>
      </c>
      <c r="W15" s="41">
        <v>3.8800000000000001E-2</v>
      </c>
      <c r="X15" s="43">
        <v>3.8899999999999997E-2</v>
      </c>
      <c r="Y15" s="41">
        <v>3.9E-2</v>
      </c>
      <c r="Z15" s="41">
        <v>3.8800000000000001E-2</v>
      </c>
      <c r="AA15" s="41">
        <v>3.8600000000000002E-2</v>
      </c>
      <c r="AB15" s="41">
        <v>3.8399999999999997E-2</v>
      </c>
      <c r="AC15" s="43">
        <v>3.8199999999999998E-2</v>
      </c>
    </row>
    <row r="16" spans="1:29" ht="13.9" customHeight="1" x14ac:dyDescent="0.25">
      <c r="A16" s="39" t="s">
        <v>78</v>
      </c>
      <c r="B16" s="40">
        <v>5.4600000000000003E-2</v>
      </c>
      <c r="C16" s="40">
        <v>5.5899999999999998E-2</v>
      </c>
      <c r="D16" s="40">
        <v>5.7500000000000002E-2</v>
      </c>
      <c r="E16" s="41">
        <v>5.7299999999999997E-2</v>
      </c>
      <c r="F16" s="41">
        <v>5.7700000000000001E-2</v>
      </c>
      <c r="G16" s="41">
        <v>5.8099999999999999E-2</v>
      </c>
      <c r="H16" s="41">
        <v>6.0999999999999999E-2</v>
      </c>
      <c r="I16" s="43">
        <v>6.2E-2</v>
      </c>
      <c r="J16" s="41">
        <v>6.0900000000000003E-2</v>
      </c>
      <c r="K16" s="41">
        <v>5.9799999999999999E-2</v>
      </c>
      <c r="L16" s="41">
        <v>5.8900000000000001E-2</v>
      </c>
      <c r="M16" s="41">
        <v>5.8000000000000003E-2</v>
      </c>
      <c r="N16" s="41">
        <v>5.7099999999999998E-2</v>
      </c>
      <c r="O16" s="41">
        <v>5.6300000000000003E-2</v>
      </c>
      <c r="P16" s="41">
        <v>5.5500000000000001E-2</v>
      </c>
      <c r="Q16" s="41">
        <v>5.6300000000000003E-2</v>
      </c>
      <c r="R16" s="41">
        <v>5.62E-2</v>
      </c>
      <c r="S16" s="43">
        <v>5.62E-2</v>
      </c>
      <c r="T16" s="41">
        <v>5.6500000000000002E-2</v>
      </c>
      <c r="U16" s="41">
        <v>5.6800000000000003E-2</v>
      </c>
      <c r="V16" s="41">
        <v>5.7000000000000002E-2</v>
      </c>
      <c r="W16" s="41">
        <v>5.7200000000000001E-2</v>
      </c>
      <c r="X16" s="43">
        <v>5.74E-2</v>
      </c>
      <c r="Y16" s="41">
        <v>5.7599999999999998E-2</v>
      </c>
      <c r="Z16" s="41">
        <v>5.7299999999999997E-2</v>
      </c>
      <c r="AA16" s="41">
        <v>5.7000000000000002E-2</v>
      </c>
      <c r="AB16" s="41">
        <v>5.67E-2</v>
      </c>
      <c r="AC16" s="43">
        <v>5.6399999999999999E-2</v>
      </c>
    </row>
    <row r="17" spans="1:29" ht="13.9" customHeight="1" x14ac:dyDescent="0.25">
      <c r="A17" s="39" t="s">
        <v>79</v>
      </c>
      <c r="B17" s="40">
        <v>7.6399999999999996E-2</v>
      </c>
      <c r="C17" s="40">
        <v>7.8100000000000003E-2</v>
      </c>
      <c r="D17" s="40">
        <v>8.0399999999999999E-2</v>
      </c>
      <c r="E17" s="41">
        <v>8.0100000000000005E-2</v>
      </c>
      <c r="F17" s="41">
        <v>8.0699999999999994E-2</v>
      </c>
      <c r="G17" s="41">
        <v>8.1199999999999994E-2</v>
      </c>
      <c r="H17" s="41">
        <v>8.5199999999999998E-2</v>
      </c>
      <c r="I17" s="43">
        <v>8.6599999999999996E-2</v>
      </c>
      <c r="J17" s="41">
        <v>8.5099999999999995E-2</v>
      </c>
      <c r="K17" s="41">
        <v>8.3599999999999994E-2</v>
      </c>
      <c r="L17" s="41">
        <v>8.2299999999999998E-2</v>
      </c>
      <c r="M17" s="41">
        <v>8.1000000000000003E-2</v>
      </c>
      <c r="N17" s="41">
        <v>7.9799999999999996E-2</v>
      </c>
      <c r="O17" s="41">
        <v>7.8700000000000006E-2</v>
      </c>
      <c r="P17" s="41">
        <v>7.7600000000000002E-2</v>
      </c>
      <c r="Q17" s="41">
        <v>7.8700000000000006E-2</v>
      </c>
      <c r="R17" s="41">
        <v>7.8600000000000003E-2</v>
      </c>
      <c r="S17" s="43">
        <v>7.85E-2</v>
      </c>
      <c r="T17" s="41">
        <v>7.8899999999999998E-2</v>
      </c>
      <c r="U17" s="41">
        <v>7.9299999999999995E-2</v>
      </c>
      <c r="V17" s="41">
        <v>7.9699999999999993E-2</v>
      </c>
      <c r="W17" s="41">
        <v>0.08</v>
      </c>
      <c r="X17" s="43">
        <v>8.0299999999999996E-2</v>
      </c>
      <c r="Y17" s="41">
        <v>8.0500000000000002E-2</v>
      </c>
      <c r="Z17" s="41">
        <v>8.0100000000000005E-2</v>
      </c>
      <c r="AA17" s="41">
        <v>7.9699999999999993E-2</v>
      </c>
      <c r="AB17" s="41">
        <v>7.9299999999999995E-2</v>
      </c>
      <c r="AC17" s="43">
        <v>7.8899999999999998E-2</v>
      </c>
    </row>
    <row r="18" spans="1:29" ht="4.9000000000000004" customHeight="1" x14ac:dyDescent="0.25"/>
    <row r="19" spans="1:29" ht="19.899999999999999" customHeight="1" x14ac:dyDescent="0.25">
      <c r="A19" s="62" t="s">
        <v>81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</row>
    <row r="20" spans="1:29" ht="15" customHeight="1" x14ac:dyDescent="0.25">
      <c r="A20" s="37" t="s">
        <v>74</v>
      </c>
      <c r="B20" s="16">
        <v>5.87</v>
      </c>
      <c r="C20" s="16">
        <v>5.93</v>
      </c>
      <c r="D20" s="16">
        <v>6.02</v>
      </c>
      <c r="E20" s="38">
        <v>5.88</v>
      </c>
      <c r="F20" s="38">
        <v>5.82</v>
      </c>
      <c r="G20" s="38">
        <v>5.78</v>
      </c>
      <c r="H20" s="38">
        <v>6</v>
      </c>
      <c r="I20" s="38">
        <v>6.05</v>
      </c>
      <c r="J20" s="38">
        <v>5.95</v>
      </c>
      <c r="K20" s="38">
        <v>5.86</v>
      </c>
      <c r="L20" s="38">
        <v>5.77</v>
      </c>
      <c r="M20" s="38">
        <v>5.69</v>
      </c>
      <c r="N20" s="38">
        <v>5.61</v>
      </c>
      <c r="O20" s="38">
        <v>5.54</v>
      </c>
      <c r="P20" s="38">
        <v>5.47</v>
      </c>
      <c r="Q20" s="38">
        <v>5.56</v>
      </c>
      <c r="R20" s="38">
        <v>5.57</v>
      </c>
      <c r="S20" s="38">
        <v>5.58</v>
      </c>
      <c r="T20" s="38">
        <v>5.61</v>
      </c>
      <c r="U20" s="38">
        <v>5.65</v>
      </c>
      <c r="V20" s="38">
        <v>5.68</v>
      </c>
      <c r="W20" s="38">
        <v>5.71</v>
      </c>
      <c r="X20" s="38">
        <v>5.74</v>
      </c>
      <c r="Y20" s="38">
        <v>5.75</v>
      </c>
      <c r="Z20" s="38">
        <v>5.73</v>
      </c>
      <c r="AA20" s="38">
        <v>5.7</v>
      </c>
      <c r="AB20" s="38">
        <v>5.68</v>
      </c>
      <c r="AC20" s="38">
        <v>5.65</v>
      </c>
    </row>
    <row r="21" spans="1:29" ht="13.9" customHeight="1" x14ac:dyDescent="0.25">
      <c r="A21" s="39" t="s">
        <v>75</v>
      </c>
      <c r="B21" s="40">
        <v>1.29E-2</v>
      </c>
      <c r="C21" s="40">
        <v>1.2999999999999999E-2</v>
      </c>
      <c r="D21" s="40">
        <v>1.32E-2</v>
      </c>
      <c r="E21" s="41">
        <v>1.29E-2</v>
      </c>
      <c r="F21" s="41">
        <v>1.2800000000000001E-2</v>
      </c>
      <c r="G21" s="41">
        <v>1.2699999999999999E-2</v>
      </c>
      <c r="H21" s="41">
        <v>1.32E-2</v>
      </c>
      <c r="I21" s="44">
        <v>1.3299999999999999E-2</v>
      </c>
      <c r="J21" s="41">
        <v>1.3100000000000001E-2</v>
      </c>
      <c r="K21" s="41">
        <v>1.29E-2</v>
      </c>
      <c r="L21" s="41">
        <v>1.2699999999999999E-2</v>
      </c>
      <c r="M21" s="41">
        <v>1.2500000000000001E-2</v>
      </c>
      <c r="N21" s="41">
        <v>1.23E-2</v>
      </c>
      <c r="O21" s="41">
        <v>1.2200000000000001E-2</v>
      </c>
      <c r="P21" s="41">
        <v>1.2E-2</v>
      </c>
      <c r="Q21" s="41">
        <v>1.2200000000000001E-2</v>
      </c>
      <c r="R21" s="41">
        <v>1.23E-2</v>
      </c>
      <c r="S21" s="44">
        <v>1.23E-2</v>
      </c>
      <c r="T21" s="41">
        <v>1.23E-2</v>
      </c>
      <c r="U21" s="41">
        <v>1.24E-2</v>
      </c>
      <c r="V21" s="41">
        <v>1.2500000000000001E-2</v>
      </c>
      <c r="W21" s="41">
        <v>1.26E-2</v>
      </c>
      <c r="X21" s="44">
        <v>1.26E-2</v>
      </c>
      <c r="Y21" s="41">
        <v>1.2699999999999999E-2</v>
      </c>
      <c r="Z21" s="41">
        <v>1.26E-2</v>
      </c>
      <c r="AA21" s="41">
        <v>1.2500000000000001E-2</v>
      </c>
      <c r="AB21" s="41">
        <v>1.2500000000000001E-2</v>
      </c>
      <c r="AC21" s="44">
        <v>1.24E-2</v>
      </c>
    </row>
    <row r="22" spans="1:29" ht="13.9" customHeight="1" x14ac:dyDescent="0.25">
      <c r="A22" s="39" t="s">
        <v>76</v>
      </c>
      <c r="B22" s="40">
        <v>2.35E-2</v>
      </c>
      <c r="C22" s="40">
        <v>2.3699999999999999E-2</v>
      </c>
      <c r="D22" s="40">
        <v>2.41E-2</v>
      </c>
      <c r="E22" s="41">
        <v>2.35E-2</v>
      </c>
      <c r="F22" s="41">
        <v>2.3300000000000001E-2</v>
      </c>
      <c r="G22" s="41">
        <v>2.3099999999999999E-2</v>
      </c>
      <c r="H22" s="41">
        <v>2.4E-2</v>
      </c>
      <c r="I22" s="44">
        <v>2.4199999999999999E-2</v>
      </c>
      <c r="J22" s="41">
        <v>2.3800000000000002E-2</v>
      </c>
      <c r="K22" s="41">
        <v>2.3400000000000001E-2</v>
      </c>
      <c r="L22" s="41">
        <v>2.3099999999999999E-2</v>
      </c>
      <c r="M22" s="41">
        <v>2.2800000000000001E-2</v>
      </c>
      <c r="N22" s="41">
        <v>2.2499999999999999E-2</v>
      </c>
      <c r="O22" s="41">
        <v>2.2200000000000001E-2</v>
      </c>
      <c r="P22" s="41">
        <v>2.1899999999999999E-2</v>
      </c>
      <c r="Q22" s="41">
        <v>2.23E-2</v>
      </c>
      <c r="R22" s="41">
        <v>2.23E-2</v>
      </c>
      <c r="S22" s="44">
        <v>2.23E-2</v>
      </c>
      <c r="T22" s="41">
        <v>2.2499999999999999E-2</v>
      </c>
      <c r="U22" s="41">
        <v>2.2599999999999999E-2</v>
      </c>
      <c r="V22" s="41">
        <v>2.2700000000000001E-2</v>
      </c>
      <c r="W22" s="41">
        <v>2.2800000000000001E-2</v>
      </c>
      <c r="X22" s="44">
        <v>2.29E-2</v>
      </c>
      <c r="Y22" s="41">
        <v>2.3E-2</v>
      </c>
      <c r="Z22" s="41">
        <v>2.29E-2</v>
      </c>
      <c r="AA22" s="41">
        <v>2.2800000000000001E-2</v>
      </c>
      <c r="AB22" s="41">
        <v>2.2700000000000001E-2</v>
      </c>
      <c r="AC22" s="44">
        <v>2.2599999999999999E-2</v>
      </c>
    </row>
    <row r="23" spans="1:29" ht="13.9" customHeight="1" x14ac:dyDescent="0.25">
      <c r="A23" s="39" t="s">
        <v>77</v>
      </c>
      <c r="B23" s="40">
        <v>3.6999999999999998E-2</v>
      </c>
      <c r="C23" s="40">
        <v>3.73E-2</v>
      </c>
      <c r="D23" s="40">
        <v>3.7900000000000003E-2</v>
      </c>
      <c r="E23" s="41">
        <v>3.7900000000000003E-2</v>
      </c>
      <c r="F23" s="41">
        <v>3.6700000000000003E-2</v>
      </c>
      <c r="G23" s="41">
        <v>3.6400000000000002E-2</v>
      </c>
      <c r="H23" s="41">
        <v>3.78E-2</v>
      </c>
      <c r="I23" s="44">
        <v>3.8100000000000002E-2</v>
      </c>
      <c r="J23" s="41">
        <v>3.7499999999999999E-2</v>
      </c>
      <c r="K23" s="41">
        <v>3.6900000000000002E-2</v>
      </c>
      <c r="L23" s="41">
        <v>3.6400000000000002E-2</v>
      </c>
      <c r="M23" s="41">
        <v>3.5799999999999998E-2</v>
      </c>
      <c r="N23" s="41">
        <v>3.5400000000000001E-2</v>
      </c>
      <c r="O23" s="41">
        <v>3.49E-2</v>
      </c>
      <c r="P23" s="41">
        <v>3.4500000000000003E-2</v>
      </c>
      <c r="Q23" s="41">
        <v>3.5099999999999999E-2</v>
      </c>
      <c r="R23" s="41">
        <v>3.5099999999999999E-2</v>
      </c>
      <c r="S23" s="44">
        <v>3.5099999999999999E-2</v>
      </c>
      <c r="T23" s="41">
        <v>3.5400000000000001E-2</v>
      </c>
      <c r="U23" s="41">
        <v>3.56E-2</v>
      </c>
      <c r="V23" s="41">
        <v>3.5799999999999998E-2</v>
      </c>
      <c r="W23" s="41">
        <v>3.5999999999999997E-2</v>
      </c>
      <c r="X23" s="44">
        <v>3.61E-2</v>
      </c>
      <c r="Y23" s="41">
        <v>3.6299999999999999E-2</v>
      </c>
      <c r="Z23" s="41">
        <v>3.61E-2</v>
      </c>
      <c r="AA23" s="41">
        <v>3.5900000000000001E-2</v>
      </c>
      <c r="AB23" s="41">
        <v>3.5799999999999998E-2</v>
      </c>
      <c r="AC23" s="44">
        <v>3.56E-2</v>
      </c>
    </row>
    <row r="24" spans="1:29" ht="13.9" customHeight="1" x14ac:dyDescent="0.25">
      <c r="A24" s="39" t="s">
        <v>78</v>
      </c>
      <c r="B24" s="40">
        <v>5.4600000000000003E-2</v>
      </c>
      <c r="C24" s="40">
        <v>5.5100000000000003E-2</v>
      </c>
      <c r="D24" s="40">
        <v>5.6000000000000001E-2</v>
      </c>
      <c r="E24" s="41">
        <v>5.4699999999999999E-2</v>
      </c>
      <c r="F24" s="41">
        <v>5.4199999999999998E-2</v>
      </c>
      <c r="G24" s="41">
        <v>5.3699999999999998E-2</v>
      </c>
      <c r="H24" s="41">
        <v>5.5800000000000002E-2</v>
      </c>
      <c r="I24" s="44">
        <v>5.62E-2</v>
      </c>
      <c r="J24" s="41">
        <v>5.5300000000000002E-2</v>
      </c>
      <c r="K24" s="41">
        <v>5.45E-2</v>
      </c>
      <c r="L24" s="41">
        <v>5.3699999999999998E-2</v>
      </c>
      <c r="M24" s="41">
        <v>5.2900000000000003E-2</v>
      </c>
      <c r="N24" s="41">
        <v>5.2200000000000003E-2</v>
      </c>
      <c r="O24" s="41">
        <v>5.1499999999999997E-2</v>
      </c>
      <c r="P24" s="41">
        <v>5.0900000000000001E-2</v>
      </c>
      <c r="Q24" s="41">
        <v>5.1799999999999999E-2</v>
      </c>
      <c r="R24" s="41">
        <v>5.1799999999999999E-2</v>
      </c>
      <c r="S24" s="44">
        <v>5.1799999999999999E-2</v>
      </c>
      <c r="T24" s="41">
        <v>5.2200000000000003E-2</v>
      </c>
      <c r="U24" s="41">
        <v>5.2499999999999998E-2</v>
      </c>
      <c r="V24" s="41">
        <v>5.28E-2</v>
      </c>
      <c r="W24" s="41">
        <v>5.3100000000000001E-2</v>
      </c>
      <c r="X24" s="44">
        <v>5.33E-2</v>
      </c>
      <c r="Y24" s="41">
        <v>5.3499999999999999E-2</v>
      </c>
      <c r="Z24" s="41">
        <v>5.33E-2</v>
      </c>
      <c r="AA24" s="41">
        <v>5.2999999999999999E-2</v>
      </c>
      <c r="AB24" s="41">
        <v>5.28E-2</v>
      </c>
      <c r="AC24" s="44">
        <v>5.2600000000000001E-2</v>
      </c>
    </row>
    <row r="25" spans="1:29" ht="13.9" customHeight="1" x14ac:dyDescent="0.25">
      <c r="A25" s="39" t="s">
        <v>79</v>
      </c>
      <c r="B25" s="40">
        <v>7.6399999999999996E-2</v>
      </c>
      <c r="C25" s="40">
        <v>7.6999999999999999E-2</v>
      </c>
      <c r="D25" s="40">
        <v>7.8200000000000006E-2</v>
      </c>
      <c r="E25" s="41">
        <v>7.6399999999999996E-2</v>
      </c>
      <c r="F25" s="41">
        <v>7.5700000000000003E-2</v>
      </c>
      <c r="G25" s="41">
        <v>7.51E-2</v>
      </c>
      <c r="H25" s="41">
        <v>7.8E-2</v>
      </c>
      <c r="I25" s="44">
        <v>7.8600000000000003E-2</v>
      </c>
      <c r="J25" s="41">
        <v>7.7299999999999994E-2</v>
      </c>
      <c r="K25" s="41">
        <v>7.6100000000000001E-2</v>
      </c>
      <c r="L25" s="41">
        <v>7.4999999999999997E-2</v>
      </c>
      <c r="M25" s="41">
        <v>7.3999999999999996E-2</v>
      </c>
      <c r="N25" s="41">
        <v>7.2999999999999995E-2</v>
      </c>
      <c r="O25" s="41">
        <v>7.1999999999999995E-2</v>
      </c>
      <c r="P25" s="41">
        <v>7.1099999999999997E-2</v>
      </c>
      <c r="Q25" s="41">
        <v>7.2300000000000003E-2</v>
      </c>
      <c r="R25" s="41">
        <v>7.2400000000000006E-2</v>
      </c>
      <c r="S25" s="44">
        <v>7.2499999999999995E-2</v>
      </c>
      <c r="T25" s="41">
        <v>7.2999999999999995E-2</v>
      </c>
      <c r="U25" s="41">
        <v>7.3400000000000007E-2</v>
      </c>
      <c r="V25" s="41">
        <v>7.3800000000000004E-2</v>
      </c>
      <c r="W25" s="41">
        <v>7.4200000000000002E-2</v>
      </c>
      <c r="X25" s="44">
        <v>7.46E-2</v>
      </c>
      <c r="Y25" s="41">
        <v>7.4800000000000005E-2</v>
      </c>
      <c r="Z25" s="41">
        <v>7.4499999999999997E-2</v>
      </c>
      <c r="AA25" s="41">
        <v>7.4099999999999999E-2</v>
      </c>
      <c r="AB25" s="41">
        <v>7.3800000000000004E-2</v>
      </c>
      <c r="AC25" s="44">
        <v>7.3499999999999996E-2</v>
      </c>
    </row>
    <row r="26" spans="1:29" ht="4.9000000000000004" customHeight="1" x14ac:dyDescent="0.25"/>
  </sheetData>
  <mergeCells count="4">
    <mergeCell ref="A3:AC3"/>
    <mergeCell ref="A11:AC11"/>
    <mergeCell ref="A1:AC1"/>
    <mergeCell ref="A19:AC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P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L7" sqref="L7"/>
    </sheetView>
  </sheetViews>
  <sheetFormatPr defaultRowHeight="15" x14ac:dyDescent="0.25"/>
  <cols>
    <col min="1" max="1" width="28" customWidth="1"/>
    <col min="2" max="16" width="12.28515625" bestFit="1" customWidth="1"/>
    <col min="17" max="17" width="11" customWidth="1"/>
  </cols>
  <sheetData>
    <row r="1" spans="1:16" ht="25.9" customHeight="1" x14ac:dyDescent="0.25">
      <c r="A1" s="71" t="s">
        <v>82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22.15" customHeight="1" x14ac:dyDescent="0.25">
      <c r="A2" s="9"/>
      <c r="B2" s="72" t="s">
        <v>83</v>
      </c>
      <c r="C2" s="59"/>
      <c r="D2" s="59"/>
      <c r="E2" s="70" t="s">
        <v>84</v>
      </c>
      <c r="F2" s="59"/>
      <c r="G2" s="59"/>
      <c r="H2" s="70" t="s">
        <v>85</v>
      </c>
      <c r="I2" s="59"/>
      <c r="J2" s="59"/>
      <c r="K2" s="70" t="s">
        <v>86</v>
      </c>
      <c r="L2" s="59"/>
      <c r="M2" s="59"/>
      <c r="N2" s="70" t="s">
        <v>87</v>
      </c>
      <c r="O2" s="59"/>
      <c r="P2" s="59"/>
    </row>
    <row r="3" spans="1:16" ht="31.9" customHeight="1" x14ac:dyDescent="0.25">
      <c r="A3" s="45" t="s">
        <v>88</v>
      </c>
      <c r="B3" s="46" t="s">
        <v>89</v>
      </c>
      <c r="C3" s="46" t="s">
        <v>90</v>
      </c>
      <c r="D3" s="46" t="s">
        <v>91</v>
      </c>
      <c r="E3" s="10" t="s">
        <v>89</v>
      </c>
      <c r="F3" s="11" t="s">
        <v>90</v>
      </c>
      <c r="G3" s="12" t="s">
        <v>91</v>
      </c>
      <c r="H3" s="10" t="s">
        <v>89</v>
      </c>
      <c r="I3" s="11" t="s">
        <v>90</v>
      </c>
      <c r="J3" s="12" t="s">
        <v>91</v>
      </c>
      <c r="K3" s="10" t="s">
        <v>89</v>
      </c>
      <c r="L3" s="11" t="s">
        <v>90</v>
      </c>
      <c r="M3" s="12" t="s">
        <v>91</v>
      </c>
      <c r="N3" s="10" t="s">
        <v>89</v>
      </c>
      <c r="O3" s="11" t="s">
        <v>90</v>
      </c>
      <c r="P3" s="12" t="s">
        <v>91</v>
      </c>
    </row>
    <row r="4" spans="1:16" ht="18" customHeight="1" x14ac:dyDescent="0.25">
      <c r="A4" s="47" t="s">
        <v>92</v>
      </c>
      <c r="B4" s="48">
        <v>1.3899999999999999E-2</v>
      </c>
      <c r="C4" s="48">
        <v>1.3599999999999999E-2</v>
      </c>
      <c r="D4" s="48">
        <v>1.32E-2</v>
      </c>
      <c r="E4" s="49">
        <v>1.6199999999999999E-2</v>
      </c>
      <c r="F4" s="49">
        <v>1.47E-2</v>
      </c>
      <c r="G4" s="49">
        <v>1.3299999999999999E-2</v>
      </c>
      <c r="H4" s="49">
        <v>1.5299999999999999E-2</v>
      </c>
      <c r="I4" s="49">
        <v>1.3299999999999999E-2</v>
      </c>
      <c r="J4" s="49">
        <v>1.23E-2</v>
      </c>
      <c r="K4" s="49">
        <v>1.54E-2</v>
      </c>
      <c r="L4" s="49">
        <v>1.3599999999999999E-2</v>
      </c>
      <c r="M4" s="49">
        <v>1.26E-2</v>
      </c>
      <c r="N4" s="49">
        <v>1.4999999999999999E-2</v>
      </c>
      <c r="O4" s="49">
        <v>1.3299999999999999E-2</v>
      </c>
      <c r="P4" s="49">
        <v>1.24E-2</v>
      </c>
    </row>
    <row r="5" spans="1:16" ht="18" customHeight="1" x14ac:dyDescent="0.25">
      <c r="A5" s="50" t="s">
        <v>93</v>
      </c>
      <c r="B5" s="48">
        <v>2.52E-2</v>
      </c>
      <c r="C5" s="48">
        <v>2.47E-2</v>
      </c>
      <c r="D5" s="48">
        <v>2.41E-2</v>
      </c>
      <c r="E5" s="51">
        <v>2.9399999999999999E-2</v>
      </c>
      <c r="F5" s="51">
        <v>2.6599999999999999E-2</v>
      </c>
      <c r="G5" s="51">
        <v>2.4199999999999999E-2</v>
      </c>
      <c r="H5" s="51">
        <v>2.7799999999999998E-2</v>
      </c>
      <c r="I5" s="51">
        <v>2.4199999999999999E-2</v>
      </c>
      <c r="J5" s="51">
        <v>2.23E-2</v>
      </c>
      <c r="K5" s="51">
        <v>2.8000000000000001E-2</v>
      </c>
      <c r="L5" s="51">
        <v>2.47E-2</v>
      </c>
      <c r="M5" s="51">
        <v>2.29E-2</v>
      </c>
      <c r="N5" s="51">
        <v>2.7300000000000001E-2</v>
      </c>
      <c r="O5" s="51">
        <v>2.4299999999999999E-2</v>
      </c>
      <c r="P5" s="51">
        <v>2.2599999999999999E-2</v>
      </c>
    </row>
    <row r="6" spans="1:16" ht="18" customHeight="1" x14ac:dyDescent="0.25">
      <c r="A6" s="47" t="s">
        <v>94</v>
      </c>
      <c r="B6" s="48">
        <v>3.9699999999999999E-2</v>
      </c>
      <c r="C6" s="48">
        <v>3.9E-2</v>
      </c>
      <c r="D6" s="48">
        <v>3.7900000000000003E-2</v>
      </c>
      <c r="E6" s="49">
        <v>4.6300000000000001E-2</v>
      </c>
      <c r="F6" s="49">
        <v>4.2000000000000003E-2</v>
      </c>
      <c r="G6" s="49">
        <v>3.8100000000000002E-2</v>
      </c>
      <c r="H6" s="49">
        <v>4.3700000000000003E-2</v>
      </c>
      <c r="I6" s="49">
        <v>3.8100000000000002E-2</v>
      </c>
      <c r="J6" s="49">
        <v>3.5099999999999999E-2</v>
      </c>
      <c r="K6" s="49">
        <v>4.41E-2</v>
      </c>
      <c r="L6" s="49">
        <v>3.8899999999999997E-2</v>
      </c>
      <c r="M6" s="49">
        <v>3.61E-2</v>
      </c>
      <c r="N6" s="49">
        <v>4.2999999999999997E-2</v>
      </c>
      <c r="O6" s="49">
        <v>3.8199999999999998E-2</v>
      </c>
      <c r="P6" s="49">
        <v>3.56E-2</v>
      </c>
    </row>
    <row r="7" spans="1:16" ht="18" customHeight="1" x14ac:dyDescent="0.25">
      <c r="A7" s="50" t="s">
        <v>95</v>
      </c>
      <c r="B7" s="48">
        <v>5.8599999999999999E-2</v>
      </c>
      <c r="C7" s="48">
        <v>5.7500000000000002E-2</v>
      </c>
      <c r="D7" s="48">
        <v>5.6000000000000001E-2</v>
      </c>
      <c r="E7" s="51">
        <v>6.83E-2</v>
      </c>
      <c r="F7" s="51">
        <v>6.2E-2</v>
      </c>
      <c r="G7" s="51">
        <v>5.62E-2</v>
      </c>
      <c r="H7" s="51">
        <v>6.4500000000000002E-2</v>
      </c>
      <c r="I7" s="51">
        <v>5.62E-2</v>
      </c>
      <c r="J7" s="51">
        <v>5.1799999999999999E-2</v>
      </c>
      <c r="K7" s="51">
        <v>6.5100000000000005E-2</v>
      </c>
      <c r="L7" s="51">
        <v>5.74E-2</v>
      </c>
      <c r="M7" s="51">
        <v>5.33E-2</v>
      </c>
      <c r="N7" s="51">
        <v>6.3399999999999998E-2</v>
      </c>
      <c r="O7" s="51">
        <v>5.6399999999999999E-2</v>
      </c>
      <c r="P7" s="51">
        <v>5.2600000000000001E-2</v>
      </c>
    </row>
    <row r="8" spans="1:16" ht="18" customHeight="1" x14ac:dyDescent="0.25">
      <c r="A8" s="47" t="s">
        <v>96</v>
      </c>
      <c r="B8" s="48">
        <v>8.1900000000000001E-2</v>
      </c>
      <c r="C8" s="48">
        <v>8.0399999999999999E-2</v>
      </c>
      <c r="D8" s="48">
        <v>7.8200000000000006E-2</v>
      </c>
      <c r="E8" s="49">
        <v>9.5500000000000002E-2</v>
      </c>
      <c r="F8" s="49">
        <v>8.6599999999999996E-2</v>
      </c>
      <c r="G8" s="49">
        <v>7.8600000000000003E-2</v>
      </c>
      <c r="H8" s="49">
        <v>9.0200000000000002E-2</v>
      </c>
      <c r="I8" s="49">
        <v>7.85E-2</v>
      </c>
      <c r="J8" s="49">
        <v>7.2499999999999995E-2</v>
      </c>
      <c r="K8" s="49">
        <v>9.0999999999999998E-2</v>
      </c>
      <c r="L8" s="49">
        <v>8.0299999999999996E-2</v>
      </c>
      <c r="M8" s="49">
        <v>7.46E-2</v>
      </c>
      <c r="N8" s="49">
        <v>8.8599999999999998E-2</v>
      </c>
      <c r="O8" s="49">
        <v>7.8899999999999998E-2</v>
      </c>
      <c r="P8" s="49">
        <v>7.3499999999999996E-2</v>
      </c>
    </row>
    <row r="9" spans="1:16" ht="18" customHeight="1" x14ac:dyDescent="0.25">
      <c r="A9" s="52" t="s">
        <v>97</v>
      </c>
      <c r="B9" s="48">
        <v>6.3E-2</v>
      </c>
      <c r="C9" s="48">
        <v>6.1800000000000001E-2</v>
      </c>
      <c r="D9" s="48">
        <v>6.0199999999999997E-2</v>
      </c>
      <c r="E9" s="53">
        <v>7.3400000000000007E-2</v>
      </c>
      <c r="F9" s="53">
        <v>6.6600000000000006E-2</v>
      </c>
      <c r="G9" s="53">
        <v>6.0499999999999998E-2</v>
      </c>
      <c r="H9" s="53">
        <v>6.9400000000000003E-2</v>
      </c>
      <c r="I9" s="53">
        <v>6.0400000000000002E-2</v>
      </c>
      <c r="J9" s="53">
        <v>5.5800000000000002E-2</v>
      </c>
      <c r="K9" s="53">
        <v>7.0000000000000007E-2</v>
      </c>
      <c r="L9" s="53">
        <v>6.1800000000000001E-2</v>
      </c>
      <c r="M9" s="53">
        <v>5.74E-2</v>
      </c>
      <c r="N9" s="53">
        <v>6.8199999999999997E-2</v>
      </c>
      <c r="O9" s="53">
        <v>6.0699999999999997E-2</v>
      </c>
      <c r="P9" s="53">
        <v>5.6500000000000002E-2</v>
      </c>
    </row>
    <row r="11" spans="1:16" ht="18" customHeight="1" x14ac:dyDescent="0.25">
      <c r="A11" s="69" t="s">
        <v>98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</row>
  </sheetData>
  <mergeCells count="7">
    <mergeCell ref="A11:P11"/>
    <mergeCell ref="E2:G2"/>
    <mergeCell ref="K2:M2"/>
    <mergeCell ref="N2:P2"/>
    <mergeCell ref="A1:P1"/>
    <mergeCell ref="H2:J2"/>
    <mergeCell ref="B2:D2"/>
  </mergeCells>
  <conditionalFormatting sqref="E4:P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11"/>
  <sheetViews>
    <sheetView showGridLines="0" workbookViewId="0">
      <selection sqref="A1:B1"/>
    </sheetView>
  </sheetViews>
  <sheetFormatPr defaultRowHeight="15" x14ac:dyDescent="0.25"/>
  <cols>
    <col min="1" max="1" width="18" customWidth="1"/>
    <col min="2" max="2" width="100" customWidth="1"/>
  </cols>
  <sheetData>
    <row r="1" spans="1:2" ht="28.15" customHeight="1" x14ac:dyDescent="0.25">
      <c r="A1" s="73" t="s">
        <v>99</v>
      </c>
      <c r="B1" s="59"/>
    </row>
    <row r="2" spans="1:2" ht="43.9" customHeight="1" x14ac:dyDescent="0.25">
      <c r="A2" s="54" t="s">
        <v>100</v>
      </c>
      <c r="B2" s="55" t="s">
        <v>101</v>
      </c>
    </row>
    <row r="3" spans="1:2" ht="43.9" customHeight="1" x14ac:dyDescent="0.25">
      <c r="A3" s="54" t="s">
        <v>102</v>
      </c>
      <c r="B3" s="55" t="s">
        <v>103</v>
      </c>
    </row>
    <row r="4" spans="1:2" ht="43.9" customHeight="1" x14ac:dyDescent="0.25">
      <c r="A4" s="54" t="s">
        <v>104</v>
      </c>
      <c r="B4" s="55" t="s">
        <v>105</v>
      </c>
    </row>
    <row r="5" spans="1:2" ht="58.15" customHeight="1" x14ac:dyDescent="0.25">
      <c r="A5" s="56" t="s">
        <v>106</v>
      </c>
      <c r="B5" s="57" t="s">
        <v>107</v>
      </c>
    </row>
    <row r="6" spans="1:2" ht="30" customHeight="1" x14ac:dyDescent="0.25">
      <c r="A6" s="54" t="s">
        <v>108</v>
      </c>
      <c r="B6" s="55" t="s">
        <v>109</v>
      </c>
    </row>
    <row r="7" spans="1:2" ht="169.9" customHeight="1" x14ac:dyDescent="0.25">
      <c r="A7" s="56" t="s">
        <v>110</v>
      </c>
      <c r="B7" s="57" t="s">
        <v>111</v>
      </c>
    </row>
    <row r="8" spans="1:2" ht="58.15" customHeight="1" x14ac:dyDescent="0.25">
      <c r="A8" s="56" t="s">
        <v>112</v>
      </c>
      <c r="B8" s="57" t="s">
        <v>113</v>
      </c>
    </row>
    <row r="9" spans="1:2" ht="43.9" customHeight="1" x14ac:dyDescent="0.25">
      <c r="A9" s="54" t="s">
        <v>114</v>
      </c>
      <c r="B9" s="55" t="s">
        <v>115</v>
      </c>
    </row>
    <row r="10" spans="1:2" ht="72" customHeight="1" x14ac:dyDescent="0.25">
      <c r="A10" s="54" t="s">
        <v>116</v>
      </c>
      <c r="B10" s="55" t="s">
        <v>117</v>
      </c>
    </row>
    <row r="11" spans="1:2" ht="114" customHeight="1" x14ac:dyDescent="0.25">
      <c r="A11" s="54" t="s">
        <v>118</v>
      </c>
      <c r="B11" s="55" t="s">
        <v>119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2cb29-d550-43f1-a7c8-aa1fabcb5a52" xsi:nil="true"/>
    <lcf76f155ced4ddcb4097134ff3c332f xmlns="76263094-feab-41d4-961e-2f09b4a14ed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435C741E0CE47AB0FB641BDCC1541" ma:contentTypeVersion="14" ma:contentTypeDescription="Create a new document." ma:contentTypeScope="" ma:versionID="56a448f13391b51b743be3d69b168158">
  <xsd:schema xmlns:xsd="http://www.w3.org/2001/XMLSchema" xmlns:xs="http://www.w3.org/2001/XMLSchema" xmlns:p="http://schemas.microsoft.com/office/2006/metadata/properties" xmlns:ns2="76263094-feab-41d4-961e-2f09b4a14ed1" xmlns:ns3="ef02cb29-d550-43f1-a7c8-aa1fabcb5a52" targetNamespace="http://schemas.microsoft.com/office/2006/metadata/properties" ma:root="true" ma:fieldsID="5bd66717267a4228653f7ff3740c9bc0" ns2:_="" ns3:_="">
    <xsd:import namespace="76263094-feab-41d4-961e-2f09b4a14ed1"/>
    <xsd:import namespace="ef02cb29-d550-43f1-a7c8-aa1fabcb5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63094-feab-41d4-961e-2f09b4a14e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1d809e4-c4b2-46a7-a1f4-1b500115eb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2cb29-d550-43f1-a7c8-aa1fabcb5a5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3f34683-35d5-46e8-b829-ac651129a459}" ma:internalName="TaxCatchAll" ma:showField="CatchAllData" ma:web="ef02cb29-d550-43f1-a7c8-aa1fabcb5a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C5CC3D-6904-4B20-9710-05C93B6BFABC}">
  <ds:schemaRefs>
    <ds:schemaRef ds:uri="http://schemas.microsoft.com/office/2006/metadata/properties"/>
    <ds:schemaRef ds:uri="http://schemas.microsoft.com/office/infopath/2007/PartnerControls"/>
    <ds:schemaRef ds:uri="ef02cb29-d550-43f1-a7c8-aa1fabcb5a52"/>
    <ds:schemaRef ds:uri="76263094-feab-41d4-961e-2f09b4a14ed1"/>
  </ds:schemaRefs>
</ds:datastoreItem>
</file>

<file path=customXml/itemProps2.xml><?xml version="1.0" encoding="utf-8"?>
<ds:datastoreItem xmlns:ds="http://schemas.openxmlformats.org/officeDocument/2006/customXml" ds:itemID="{EC18E6D7-1CFF-4CF1-9F46-53975166B6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296D8A-1E19-4803-A4FF-D855B921B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263094-feab-41d4-961e-2f09b4a14ed1"/>
    <ds:schemaRef ds:uri="ef02cb29-d550-43f1-a7c8-aa1fabcb5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RAB &amp; Cost Build-up</vt:lpstr>
      <vt:lpstr>Tariff Results</vt:lpstr>
      <vt:lpstr>Scenario Comparison</vt:lpstr>
      <vt:lpstr>Methodology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Amedeo CECCATO</cp:lastModifiedBy>
  <dcterms:created xsi:type="dcterms:W3CDTF">2026-04-30T01:51:14Z</dcterms:created>
  <dcterms:modified xsi:type="dcterms:W3CDTF">2026-08-20T09:37:16Z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0x010100AE8435C741E0CE47AB0FB641BDCC1541</vt:lpwstr>
  </property>
  <property fmtid="{D5CDD505-2E9C-101B-9397-08002B2CF9AE}" pid="3" name="MediaServiceImageTags">
    <vt:lpwstr/>
  </property>
</Properties>
</file>