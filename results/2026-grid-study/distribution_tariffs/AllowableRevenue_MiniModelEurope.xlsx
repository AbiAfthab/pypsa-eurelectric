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electricorg-my.sharepoint.com/personal/aolikathodi_eurelectric_org/Documents/Ad-hoc/G4s/"/>
    </mc:Choice>
  </mc:AlternateContent>
  <xr:revisionPtr revIDLastSave="37" documentId="8_{33EC826F-E52A-420C-A43E-D9088CAACB43}" xr6:coauthVersionLast="47" xr6:coauthVersionMax="47" xr10:uidLastSave="{A1604FE1-AF55-4BC0-8A3C-7E24B086F857}"/>
  <bookViews>
    <workbookView xWindow="-110" yWindow="-110" windowWidth="19420" windowHeight="11620" xr2:uid="{64F811CD-704B-4D78-961F-0D913BE3A89B}"/>
  </bookViews>
  <sheets>
    <sheet name="Sheet1" sheetId="1" r:id="rId1"/>
    <sheet name="Sheet1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C18" i="3"/>
  <c r="B18" i="3"/>
  <c r="F48" i="3"/>
  <c r="F47" i="3"/>
  <c r="F46" i="3"/>
  <c r="I40" i="3"/>
  <c r="I41" i="3" s="1"/>
  <c r="I39" i="3"/>
  <c r="B32" i="3"/>
  <c r="I31" i="3"/>
  <c r="H31" i="3"/>
  <c r="G31" i="3"/>
  <c r="F31" i="3"/>
  <c r="I30" i="3"/>
  <c r="H30" i="3"/>
  <c r="G30" i="3"/>
  <c r="F30" i="3"/>
  <c r="B16" i="3"/>
  <c r="B10" i="3"/>
  <c r="I39" i="1"/>
  <c r="I40" i="1"/>
  <c r="I41" i="1"/>
  <c r="F46" i="1"/>
  <c r="F47" i="1"/>
  <c r="F48" i="1"/>
  <c r="F34" i="1"/>
  <c r="M18" i="1"/>
  <c r="N18" i="1"/>
  <c r="O18" i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G31" i="1"/>
  <c r="H31" i="1"/>
  <c r="I31" i="1"/>
  <c r="F31" i="1"/>
  <c r="B32" i="1"/>
  <c r="G30" i="1"/>
  <c r="H30" i="1"/>
  <c r="I30" i="1"/>
  <c r="F30" i="1"/>
  <c r="B19" i="3" l="1"/>
  <c r="C16" i="3" s="1"/>
  <c r="B20" i="3"/>
  <c r="F33" i="3"/>
  <c r="F33" i="1"/>
  <c r="B21" i="3" l="1"/>
  <c r="B22" i="3"/>
  <c r="F34" i="3"/>
  <c r="C20" i="3"/>
  <c r="C19" i="3"/>
  <c r="D16" i="3" s="1"/>
  <c r="B10" i="1"/>
  <c r="B16" i="1"/>
  <c r="D19" i="3" l="1"/>
  <c r="E16" i="3" s="1"/>
  <c r="E18" i="3" s="1"/>
  <c r="B23" i="3"/>
  <c r="F32" i="3" s="1"/>
  <c r="B33" i="3"/>
  <c r="AS21" i="3"/>
  <c r="AG21" i="3"/>
  <c r="U21" i="3"/>
  <c r="I21" i="3"/>
  <c r="AR21" i="3"/>
  <c r="AF21" i="3"/>
  <c r="T21" i="3"/>
  <c r="H21" i="3"/>
  <c r="AQ21" i="3"/>
  <c r="AE21" i="3"/>
  <c r="S21" i="3"/>
  <c r="G21" i="3"/>
  <c r="AT21" i="3"/>
  <c r="AB21" i="3"/>
  <c r="M21" i="3"/>
  <c r="F21" i="3"/>
  <c r="W21" i="3"/>
  <c r="R21" i="3"/>
  <c r="Q21" i="3"/>
  <c r="AD21" i="3"/>
  <c r="AU21" i="3"/>
  <c r="AP21" i="3"/>
  <c r="AA21" i="3"/>
  <c r="L21" i="3"/>
  <c r="X21" i="3"/>
  <c r="AH21" i="3"/>
  <c r="N21" i="3"/>
  <c r="AO21" i="3"/>
  <c r="Z21" i="3"/>
  <c r="K21" i="3"/>
  <c r="AN21" i="3"/>
  <c r="Y21" i="3"/>
  <c r="J21" i="3"/>
  <c r="AM21" i="3"/>
  <c r="AL21" i="3"/>
  <c r="E21" i="3"/>
  <c r="C21" i="3"/>
  <c r="C22" i="3" s="1"/>
  <c r="AK21" i="3"/>
  <c r="V21" i="3"/>
  <c r="D21" i="3"/>
  <c r="AJ21" i="3"/>
  <c r="AI21" i="3"/>
  <c r="P21" i="3"/>
  <c r="O21" i="3"/>
  <c r="AC21" i="3"/>
  <c r="B24" i="3"/>
  <c r="B18" i="1"/>
  <c r="B20" i="1" s="1"/>
  <c r="B19" i="1"/>
  <c r="C16" i="1" s="1"/>
  <c r="C18" i="1" s="1"/>
  <c r="C23" i="3" l="1"/>
  <c r="C24" i="3"/>
  <c r="E19" i="3"/>
  <c r="F16" i="3" s="1"/>
  <c r="F18" i="3" s="1"/>
  <c r="D20" i="3"/>
  <c r="B21" i="1"/>
  <c r="B22" i="1" s="1"/>
  <c r="C20" i="1"/>
  <c r="C19" i="1"/>
  <c r="D16" i="1" s="1"/>
  <c r="D18" i="1" s="1"/>
  <c r="F20" i="3" l="1"/>
  <c r="D22" i="3"/>
  <c r="D23" i="3" s="1"/>
  <c r="E20" i="3"/>
  <c r="B23" i="1"/>
  <c r="F32" i="1" s="1"/>
  <c r="B33" i="1"/>
  <c r="B24" i="1"/>
  <c r="D21" i="1"/>
  <c r="W21" i="1"/>
  <c r="AB21" i="1"/>
  <c r="AF21" i="1"/>
  <c r="J21" i="1"/>
  <c r="T21" i="1"/>
  <c r="L21" i="1"/>
  <c r="S21" i="1"/>
  <c r="Z21" i="1"/>
  <c r="Q21" i="1"/>
  <c r="R21" i="1"/>
  <c r="O21" i="1"/>
  <c r="N21" i="1"/>
  <c r="AC21" i="1"/>
  <c r="I21" i="1"/>
  <c r="K21" i="1"/>
  <c r="G21" i="1"/>
  <c r="Y21" i="1"/>
  <c r="X21" i="1"/>
  <c r="C21" i="1"/>
  <c r="C22" i="1" s="1"/>
  <c r="AE21" i="1"/>
  <c r="H21" i="1"/>
  <c r="F21" i="1"/>
  <c r="U21" i="1"/>
  <c r="E21" i="1"/>
  <c r="AD21" i="1"/>
  <c r="V21" i="1"/>
  <c r="P21" i="1"/>
  <c r="AA21" i="1"/>
  <c r="M21" i="1"/>
  <c r="D20" i="1"/>
  <c r="D19" i="1"/>
  <c r="E16" i="1" s="1"/>
  <c r="E18" i="1" s="1"/>
  <c r="F22" i="3" l="1"/>
  <c r="F23" i="3" s="1"/>
  <c r="E22" i="3"/>
  <c r="E23" i="3" s="1"/>
  <c r="D24" i="3"/>
  <c r="F19" i="3"/>
  <c r="G16" i="3" s="1"/>
  <c r="G18" i="3" s="1"/>
  <c r="D22" i="1"/>
  <c r="D24" i="1" s="1"/>
  <c r="C24" i="1"/>
  <c r="C23" i="1"/>
  <c r="E19" i="1"/>
  <c r="F16" i="1" s="1"/>
  <c r="F18" i="1" s="1"/>
  <c r="E24" i="3" l="1"/>
  <c r="G19" i="3"/>
  <c r="H16" i="3" s="1"/>
  <c r="H18" i="3" s="1"/>
  <c r="F24" i="3"/>
  <c r="D23" i="1"/>
  <c r="E20" i="1"/>
  <c r="E22" i="1" s="1"/>
  <c r="F20" i="1"/>
  <c r="F22" i="1" s="1"/>
  <c r="G20" i="3" l="1"/>
  <c r="H20" i="3"/>
  <c r="G22" i="3"/>
  <c r="G23" i="3" s="1"/>
  <c r="F23" i="1"/>
  <c r="F24" i="1"/>
  <c r="E23" i="1"/>
  <c r="E24" i="1"/>
  <c r="F19" i="1"/>
  <c r="G16" i="1" s="1"/>
  <c r="G18" i="1" s="1"/>
  <c r="G24" i="3" l="1"/>
  <c r="H19" i="3"/>
  <c r="I16" i="3" s="1"/>
  <c r="H22" i="3"/>
  <c r="H23" i="3" s="1"/>
  <c r="G19" i="1"/>
  <c r="H16" i="1" s="1"/>
  <c r="H18" i="1" s="1"/>
  <c r="G20" i="1"/>
  <c r="G22" i="1" s="1"/>
  <c r="I18" i="3" l="1"/>
  <c r="I19" i="3" s="1"/>
  <c r="J16" i="3" s="1"/>
  <c r="H24" i="3"/>
  <c r="H20" i="1"/>
  <c r="H22" i="1" s="1"/>
  <c r="H23" i="1" s="1"/>
  <c r="G23" i="1"/>
  <c r="G24" i="1"/>
  <c r="H19" i="1"/>
  <c r="I16" i="1" s="1"/>
  <c r="I18" i="1" s="1"/>
  <c r="J18" i="3" l="1"/>
  <c r="J20" i="3"/>
  <c r="I20" i="3"/>
  <c r="J19" i="3"/>
  <c r="K16" i="3" s="1"/>
  <c r="K18" i="3" s="1"/>
  <c r="J22" i="3"/>
  <c r="J23" i="3" s="1"/>
  <c r="J24" i="3"/>
  <c r="I22" i="3"/>
  <c r="I23" i="3" s="1"/>
  <c r="I24" i="3"/>
  <c r="K20" i="3"/>
  <c r="K19" i="3"/>
  <c r="L16" i="3" s="1"/>
  <c r="L18" i="3" s="1"/>
  <c r="H24" i="1"/>
  <c r="I20" i="1"/>
  <c r="I19" i="1"/>
  <c r="J16" i="1" s="1"/>
  <c r="J18" i="1" s="1"/>
  <c r="K22" i="3" l="1"/>
  <c r="K23" i="3" s="1"/>
  <c r="I22" i="1"/>
  <c r="I23" i="1" s="1"/>
  <c r="J20" i="1"/>
  <c r="L20" i="3" l="1"/>
  <c r="L19" i="3"/>
  <c r="M16" i="3" s="1"/>
  <c r="M18" i="3" s="1"/>
  <c r="K24" i="3"/>
  <c r="I24" i="1"/>
  <c r="J22" i="1"/>
  <c r="J23" i="1" s="1"/>
  <c r="J19" i="1"/>
  <c r="K16" i="1" s="1"/>
  <c r="K18" i="1" s="1"/>
  <c r="M19" i="3" l="1"/>
  <c r="N16" i="3" s="1"/>
  <c r="N18" i="3" s="1"/>
  <c r="M20" i="3"/>
  <c r="L22" i="3"/>
  <c r="L23" i="3" s="1"/>
  <c r="G32" i="3" s="1"/>
  <c r="G33" i="3" s="1"/>
  <c r="G34" i="3" s="1"/>
  <c r="J24" i="1"/>
  <c r="K19" i="1"/>
  <c r="L16" i="1" s="1"/>
  <c r="L18" i="1" s="1"/>
  <c r="K20" i="1"/>
  <c r="L20" i="1"/>
  <c r="L22" i="1" s="1"/>
  <c r="L24" i="3" l="1"/>
  <c r="M22" i="3"/>
  <c r="M23" i="3" s="1"/>
  <c r="N19" i="3"/>
  <c r="O16" i="3" s="1"/>
  <c r="O18" i="3" s="1"/>
  <c r="N20" i="3"/>
  <c r="K22" i="1"/>
  <c r="K23" i="1" s="1"/>
  <c r="K24" i="1"/>
  <c r="L23" i="1"/>
  <c r="G32" i="1" s="1"/>
  <c r="G33" i="1" s="1"/>
  <c r="G34" i="1" s="1"/>
  <c r="L24" i="1"/>
  <c r="L19" i="1"/>
  <c r="M16" i="1" s="1"/>
  <c r="N22" i="3" l="1"/>
  <c r="N23" i="3" s="1"/>
  <c r="O19" i="3"/>
  <c r="P16" i="3" s="1"/>
  <c r="P18" i="3" s="1"/>
  <c r="O20" i="3"/>
  <c r="M24" i="3"/>
  <c r="M19" i="1"/>
  <c r="N16" i="1" s="1"/>
  <c r="M20" i="1"/>
  <c r="M22" i="1" s="1"/>
  <c r="O22" i="3" l="1"/>
  <c r="O23" i="3" s="1"/>
  <c r="P19" i="3"/>
  <c r="Q16" i="3" s="1"/>
  <c r="Q18" i="3" s="1"/>
  <c r="P20" i="3"/>
  <c r="N24" i="3"/>
  <c r="N20" i="1"/>
  <c r="N22" i="1" s="1"/>
  <c r="N23" i="1" s="1"/>
  <c r="M23" i="1"/>
  <c r="M24" i="1"/>
  <c r="N19" i="1"/>
  <c r="O16" i="1" s="1"/>
  <c r="Q19" i="3" l="1"/>
  <c r="R16" i="3" s="1"/>
  <c r="R18" i="3" s="1"/>
  <c r="Q20" i="3"/>
  <c r="P22" i="3"/>
  <c r="P23" i="3" s="1"/>
  <c r="O24" i="3"/>
  <c r="N24" i="1"/>
  <c r="O20" i="1"/>
  <c r="O19" i="1"/>
  <c r="P16" i="1" s="1"/>
  <c r="Q22" i="3" l="1"/>
  <c r="Q23" i="3" s="1"/>
  <c r="Q24" i="3"/>
  <c r="P24" i="3"/>
  <c r="R20" i="3"/>
  <c r="R19" i="3"/>
  <c r="S16" i="3" s="1"/>
  <c r="S18" i="3" s="1"/>
  <c r="O22" i="1"/>
  <c r="O23" i="1" s="1"/>
  <c r="P20" i="1"/>
  <c r="P19" i="1"/>
  <c r="Q16" i="1" s="1"/>
  <c r="S20" i="3" l="1"/>
  <c r="S19" i="3"/>
  <c r="T16" i="3" s="1"/>
  <c r="T18" i="3" s="1"/>
  <c r="R22" i="3"/>
  <c r="R23" i="3" s="1"/>
  <c r="O24" i="1"/>
  <c r="P22" i="1"/>
  <c r="P23" i="1" s="1"/>
  <c r="Q19" i="1"/>
  <c r="R16" i="1" s="1"/>
  <c r="R24" i="3" l="1"/>
  <c r="T19" i="3"/>
  <c r="U16" i="3" s="1"/>
  <c r="U18" i="3" s="1"/>
  <c r="T20" i="3"/>
  <c r="S22" i="3"/>
  <c r="S23" i="3" s="1"/>
  <c r="P24" i="1"/>
  <c r="Q20" i="1"/>
  <c r="Q22" i="1" s="1"/>
  <c r="R20" i="1"/>
  <c r="R22" i="1" s="1"/>
  <c r="R19" i="1"/>
  <c r="S16" i="1" s="1"/>
  <c r="U19" i="3" l="1"/>
  <c r="V16" i="3" s="1"/>
  <c r="V18" i="3" s="1"/>
  <c r="U20" i="3"/>
  <c r="S24" i="3"/>
  <c r="T22" i="3"/>
  <c r="T23" i="3" s="1"/>
  <c r="R23" i="1"/>
  <c r="R24" i="1"/>
  <c r="Q23" i="1"/>
  <c r="Q24" i="1"/>
  <c r="S19" i="1"/>
  <c r="T16" i="1" s="1"/>
  <c r="T24" i="3" l="1"/>
  <c r="U22" i="3"/>
  <c r="U23" i="3" s="1"/>
  <c r="U24" i="3"/>
  <c r="V20" i="3"/>
  <c r="V19" i="3"/>
  <c r="W16" i="3" s="1"/>
  <c r="W18" i="3" s="1"/>
  <c r="S20" i="1"/>
  <c r="S22" i="1" s="1"/>
  <c r="T20" i="1"/>
  <c r="T22" i="1" s="1"/>
  <c r="W19" i="3" l="1"/>
  <c r="X16" i="3" s="1"/>
  <c r="X18" i="3" s="1"/>
  <c r="W20" i="3"/>
  <c r="V22" i="3"/>
  <c r="V23" i="3" s="1"/>
  <c r="H32" i="3" s="1"/>
  <c r="H33" i="3" s="1"/>
  <c r="H34" i="3" s="1"/>
  <c r="V24" i="3"/>
  <c r="T23" i="1"/>
  <c r="T24" i="1"/>
  <c r="S23" i="1"/>
  <c r="S24" i="1"/>
  <c r="T19" i="1"/>
  <c r="U16" i="1" s="1"/>
  <c r="W22" i="3" l="1"/>
  <c r="W23" i="3" s="1"/>
  <c r="X19" i="3"/>
  <c r="Y16" i="3" s="1"/>
  <c r="Y18" i="3" s="1"/>
  <c r="X20" i="3"/>
  <c r="U20" i="1"/>
  <c r="U19" i="1"/>
  <c r="V16" i="1" s="1"/>
  <c r="W24" i="3" l="1"/>
  <c r="X22" i="3"/>
  <c r="X23" i="3" s="1"/>
  <c r="X24" i="3"/>
  <c r="Y20" i="3"/>
  <c r="Y19" i="3"/>
  <c r="Z16" i="3" s="1"/>
  <c r="Z18" i="3" s="1"/>
  <c r="V20" i="1"/>
  <c r="V22" i="1" s="1"/>
  <c r="V19" i="1"/>
  <c r="W16" i="1" s="1"/>
  <c r="U22" i="1"/>
  <c r="U23" i="1" s="1"/>
  <c r="V23" i="1"/>
  <c r="H32" i="1" s="1"/>
  <c r="H33" i="1" s="1"/>
  <c r="H34" i="1" s="1"/>
  <c r="V24" i="1"/>
  <c r="Z20" i="3" l="1"/>
  <c r="Z19" i="3"/>
  <c r="AA16" i="3" s="1"/>
  <c r="AA18" i="3" s="1"/>
  <c r="Y22" i="3"/>
  <c r="Y23" i="3" s="1"/>
  <c r="W20" i="1"/>
  <c r="W19" i="1"/>
  <c r="X16" i="1" s="1"/>
  <c r="U24" i="1"/>
  <c r="Y24" i="3" l="1"/>
  <c r="AA19" i="3"/>
  <c r="AB16" i="3" s="1"/>
  <c r="AB18" i="3" s="1"/>
  <c r="AA20" i="3"/>
  <c r="Z22" i="3"/>
  <c r="Z23" i="3" s="1"/>
  <c r="W22" i="1"/>
  <c r="W23" i="1" s="1"/>
  <c r="W24" i="1"/>
  <c r="X19" i="1"/>
  <c r="Y16" i="1" s="1"/>
  <c r="X20" i="1"/>
  <c r="X22" i="1" s="1"/>
  <c r="AB19" i="3" l="1"/>
  <c r="AC16" i="3" s="1"/>
  <c r="AC18" i="3" s="1"/>
  <c r="AB20" i="3"/>
  <c r="Z24" i="3"/>
  <c r="AA22" i="3"/>
  <c r="AA23" i="3" s="1"/>
  <c r="Y19" i="1"/>
  <c r="Z16" i="1" s="1"/>
  <c r="X23" i="1"/>
  <c r="X24" i="1"/>
  <c r="Y20" i="1"/>
  <c r="Y22" i="1" s="1"/>
  <c r="Z20" i="1"/>
  <c r="Z22" i="1" s="1"/>
  <c r="Z19" i="1"/>
  <c r="AA16" i="1" s="1"/>
  <c r="AA24" i="3" l="1"/>
  <c r="AB22" i="3"/>
  <c r="AB23" i="3" s="1"/>
  <c r="AB24" i="3"/>
  <c r="AC19" i="3"/>
  <c r="AD16" i="3" s="1"/>
  <c r="AD18" i="3" s="1"/>
  <c r="AC20" i="3"/>
  <c r="Z23" i="1"/>
  <c r="Z24" i="1"/>
  <c r="Y23" i="1"/>
  <c r="Y24" i="1"/>
  <c r="AA20" i="1"/>
  <c r="AA22" i="1" s="1"/>
  <c r="AC22" i="3" l="1"/>
  <c r="AC23" i="3" s="1"/>
  <c r="AC24" i="3"/>
  <c r="AD20" i="3"/>
  <c r="AD19" i="3"/>
  <c r="AE16" i="3" s="1"/>
  <c r="AE18" i="3" s="1"/>
  <c r="AA23" i="1"/>
  <c r="AA24" i="1"/>
  <c r="AA19" i="1"/>
  <c r="AB16" i="1" s="1"/>
  <c r="AE20" i="3" l="1"/>
  <c r="AE19" i="3"/>
  <c r="AF16" i="3" s="1"/>
  <c r="AF18" i="3" s="1"/>
  <c r="AD22" i="3"/>
  <c r="AD23" i="3" s="1"/>
  <c r="AB19" i="1"/>
  <c r="AC16" i="1" s="1"/>
  <c r="AD24" i="3" l="1"/>
  <c r="AF19" i="3"/>
  <c r="AG16" i="3" s="1"/>
  <c r="AG18" i="3" s="1"/>
  <c r="AF20" i="3"/>
  <c r="AE22" i="3"/>
  <c r="AE23" i="3" s="1"/>
  <c r="AE24" i="3"/>
  <c r="AC20" i="1"/>
  <c r="AB20" i="1"/>
  <c r="AF22" i="3" l="1"/>
  <c r="AF23" i="3" s="1"/>
  <c r="I32" i="3" s="1"/>
  <c r="I33" i="3" s="1"/>
  <c r="I34" i="3" s="1"/>
  <c r="AF24" i="3"/>
  <c r="AG20" i="3"/>
  <c r="AG19" i="3"/>
  <c r="AH16" i="3" s="1"/>
  <c r="AH18" i="3" s="1"/>
  <c r="AC22" i="1"/>
  <c r="AC23" i="1" s="1"/>
  <c r="AC19" i="1"/>
  <c r="AD16" i="1" s="1"/>
  <c r="AB22" i="1"/>
  <c r="AB23" i="1" s="1"/>
  <c r="AH19" i="3" l="1"/>
  <c r="AI16" i="3" s="1"/>
  <c r="AI18" i="3" s="1"/>
  <c r="AH20" i="3"/>
  <c r="AG22" i="3"/>
  <c r="AG23" i="3" s="1"/>
  <c r="AG24" i="3"/>
  <c r="AC24" i="1"/>
  <c r="AD19" i="1"/>
  <c r="AE16" i="1" s="1"/>
  <c r="AD20" i="1"/>
  <c r="AB24" i="1"/>
  <c r="AE20" i="1"/>
  <c r="AE22" i="1" s="1"/>
  <c r="AH22" i="3" l="1"/>
  <c r="AH23" i="3" s="1"/>
  <c r="AH24" i="3"/>
  <c r="AI19" i="3"/>
  <c r="AJ16" i="3" s="1"/>
  <c r="AJ18" i="3" s="1"/>
  <c r="AI20" i="3"/>
  <c r="AD22" i="1"/>
  <c r="AD23" i="1" s="1"/>
  <c r="AD24" i="1"/>
  <c r="AE23" i="1"/>
  <c r="AE24" i="1"/>
  <c r="AE19" i="1"/>
  <c r="AF16" i="1" s="1"/>
  <c r="AI22" i="3" l="1"/>
  <c r="AI23" i="3" s="1"/>
  <c r="AI24" i="3"/>
  <c r="AJ20" i="3"/>
  <c r="AJ19" i="3"/>
  <c r="AK16" i="3" s="1"/>
  <c r="AK18" i="3" s="1"/>
  <c r="AF20" i="1"/>
  <c r="AF19" i="1"/>
  <c r="AG16" i="1" s="1"/>
  <c r="AK19" i="3" l="1"/>
  <c r="AL16" i="3" s="1"/>
  <c r="AL18" i="3" s="1"/>
  <c r="AK20" i="3"/>
  <c r="AJ22" i="3"/>
  <c r="AJ23" i="3" s="1"/>
  <c r="AG20" i="1"/>
  <c r="AG19" i="1"/>
  <c r="AH16" i="1" s="1"/>
  <c r="AF22" i="1"/>
  <c r="AF23" i="1" s="1"/>
  <c r="I32" i="1" s="1"/>
  <c r="I33" i="1" s="1"/>
  <c r="I34" i="1" s="1"/>
  <c r="AF24" i="1"/>
  <c r="AJ24" i="3" l="1"/>
  <c r="AK22" i="3"/>
  <c r="AK23" i="3" s="1"/>
  <c r="AL20" i="3"/>
  <c r="AL19" i="3"/>
  <c r="AM16" i="3" s="1"/>
  <c r="AM18" i="3" s="1"/>
  <c r="AH20" i="1"/>
  <c r="AH19" i="1"/>
  <c r="AI16" i="1" s="1"/>
  <c r="AG22" i="1"/>
  <c r="AG23" i="1" s="1"/>
  <c r="AM19" i="3" l="1"/>
  <c r="AN16" i="3" s="1"/>
  <c r="AN18" i="3" s="1"/>
  <c r="AM20" i="3"/>
  <c r="AL22" i="3"/>
  <c r="AL23" i="3" s="1"/>
  <c r="AK24" i="3"/>
  <c r="AG24" i="1"/>
  <c r="AI19" i="1"/>
  <c r="AJ16" i="1" s="1"/>
  <c r="AI20" i="1"/>
  <c r="AH22" i="1"/>
  <c r="AH23" i="1" s="1"/>
  <c r="AH24" i="1"/>
  <c r="AM22" i="3" l="1"/>
  <c r="AM23" i="3" s="1"/>
  <c r="AL24" i="3"/>
  <c r="AN19" i="3"/>
  <c r="AO16" i="3" s="1"/>
  <c r="AO18" i="3" s="1"/>
  <c r="AN20" i="3"/>
  <c r="AJ20" i="1"/>
  <c r="AJ19" i="1"/>
  <c r="AK16" i="1" s="1"/>
  <c r="AI22" i="1"/>
  <c r="AI23" i="1" s="1"/>
  <c r="AI24" i="1"/>
  <c r="AN22" i="3" l="1"/>
  <c r="AN23" i="3" s="1"/>
  <c r="AN24" i="3"/>
  <c r="AO19" i="3"/>
  <c r="AP16" i="3" s="1"/>
  <c r="AP18" i="3" s="1"/>
  <c r="AO20" i="3"/>
  <c r="AM24" i="3"/>
  <c r="AK20" i="1"/>
  <c r="AK19" i="1"/>
  <c r="AL16" i="1" s="1"/>
  <c r="AJ22" i="1"/>
  <c r="AJ23" i="1" s="1"/>
  <c r="AO22" i="3" l="1"/>
  <c r="AO23" i="3" s="1"/>
  <c r="AO24" i="3"/>
  <c r="AP20" i="3"/>
  <c r="AP19" i="3"/>
  <c r="AQ16" i="3" s="1"/>
  <c r="AQ18" i="3" s="1"/>
  <c r="AK22" i="1"/>
  <c r="AK23" i="1" s="1"/>
  <c r="AK24" i="1"/>
  <c r="AJ24" i="1"/>
  <c r="AL19" i="1"/>
  <c r="AM16" i="1" s="1"/>
  <c r="AL20" i="1"/>
  <c r="AP22" i="3" l="1"/>
  <c r="AP23" i="3" s="1"/>
  <c r="AP24" i="3"/>
  <c r="AQ20" i="3"/>
  <c r="AQ19" i="3"/>
  <c r="AR16" i="3" s="1"/>
  <c r="AR18" i="3" s="1"/>
  <c r="AL22" i="1"/>
  <c r="AL23" i="1" s="1"/>
  <c r="AL24" i="1"/>
  <c r="AM20" i="1"/>
  <c r="AM19" i="1"/>
  <c r="AN16" i="1" s="1"/>
  <c r="AR20" i="3" l="1"/>
  <c r="AR19" i="3"/>
  <c r="AS16" i="3" s="1"/>
  <c r="AS18" i="3" s="1"/>
  <c r="AQ22" i="3"/>
  <c r="AQ23" i="3" s="1"/>
  <c r="AQ24" i="3"/>
  <c r="AM22" i="1"/>
  <c r="AM23" i="1" s="1"/>
  <c r="AN20" i="1"/>
  <c r="AN19" i="1"/>
  <c r="AO16" i="1" s="1"/>
  <c r="AS19" i="3" l="1"/>
  <c r="AT16" i="3" s="1"/>
  <c r="AT18" i="3" s="1"/>
  <c r="AS20" i="3"/>
  <c r="AR22" i="3"/>
  <c r="AR23" i="3" s="1"/>
  <c r="AO20" i="1"/>
  <c r="AO19" i="1"/>
  <c r="AP16" i="1" s="1"/>
  <c r="AM24" i="1"/>
  <c r="AN22" i="1"/>
  <c r="AN23" i="1" s="1"/>
  <c r="AN24" i="1"/>
  <c r="AS22" i="3" l="1"/>
  <c r="AS23" i="3" s="1"/>
  <c r="AS24" i="3"/>
  <c r="AR24" i="3"/>
  <c r="AT20" i="3"/>
  <c r="AT19" i="3"/>
  <c r="AU16" i="3" s="1"/>
  <c r="AU18" i="3" s="1"/>
  <c r="AP19" i="1"/>
  <c r="AQ16" i="1" s="1"/>
  <c r="AP20" i="1"/>
  <c r="AO22" i="1"/>
  <c r="AO23" i="1" s="1"/>
  <c r="AT22" i="3" l="1"/>
  <c r="AT23" i="3" s="1"/>
  <c r="AT24" i="3"/>
  <c r="AU19" i="3"/>
  <c r="AU20" i="3"/>
  <c r="AO24" i="1"/>
  <c r="AQ19" i="1"/>
  <c r="AR16" i="1" s="1"/>
  <c r="AQ20" i="1"/>
  <c r="AP22" i="1"/>
  <c r="AP23" i="1" s="1"/>
  <c r="AP24" i="1"/>
  <c r="AU22" i="3" l="1"/>
  <c r="AU23" i="3" s="1"/>
  <c r="AU24" i="3"/>
  <c r="AQ22" i="1"/>
  <c r="AQ23" i="1" s="1"/>
  <c r="AQ24" i="1"/>
  <c r="AR19" i="1"/>
  <c r="AS16" i="1" s="1"/>
  <c r="AR20" i="1"/>
  <c r="AS20" i="1" l="1"/>
  <c r="AS19" i="1"/>
  <c r="AT16" i="1" s="1"/>
  <c r="AR22" i="1"/>
  <c r="AR23" i="1" s="1"/>
  <c r="AR24" i="1"/>
  <c r="AS22" i="1" l="1"/>
  <c r="AS23" i="1" s="1"/>
  <c r="AS24" i="1"/>
  <c r="AT20" i="1"/>
  <c r="AT19" i="1"/>
  <c r="AU16" i="1" s="1"/>
  <c r="AU19" i="1" l="1"/>
  <c r="AU20" i="1"/>
  <c r="AT22" i="1"/>
  <c r="AT23" i="1" s="1"/>
  <c r="AT24" i="1" l="1"/>
  <c r="AU22" i="1"/>
  <c r="AU23" i="1" s="1"/>
  <c r="AU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tc={FCA4676D-1AF7-4E00-914A-81E97EC30451}</author>
  </authors>
  <commentList>
    <comment ref="M18" authorId="0" shapeId="0" xr:uid="{FCA4676D-1AF7-4E00-914A-81E97EC3045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tc={7C15405D-412F-4299-864F-3C6DE1EDDE29}</author>
  </authors>
  <commentList>
    <comment ref="M18" authorId="0" shapeId="0" xr:uid="{7C15405D-412F-4299-864F-3C6DE1EDDE2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the depreciation does not grow after 2030 as the fleet age is reduced due to influx of new investment</t>
      </text>
    </comment>
  </commentList>
</comments>
</file>

<file path=xl/sharedStrings.xml><?xml version="1.0" encoding="utf-8"?>
<sst xmlns="http://schemas.openxmlformats.org/spreadsheetml/2006/main" count="92" uniqueCount="43">
  <si>
    <t>INPUT</t>
  </si>
  <si>
    <t>CALC</t>
  </si>
  <si>
    <t>Simplified model of DSO allowable revenue for Europe</t>
  </si>
  <si>
    <t>Max allowable revenue</t>
  </si>
  <si>
    <t>(RAB*WACC)+Depreciation+ OPEX</t>
  </si>
  <si>
    <t>WACC</t>
  </si>
  <si>
    <t>Average Asset Lifetime</t>
  </si>
  <si>
    <t>Verbal Input on Share of CAPEX in allowance revenue</t>
  </si>
  <si>
    <t>Depreciation rate</t>
  </si>
  <si>
    <t>Germany</t>
  </si>
  <si>
    <t>Italy</t>
  </si>
  <si>
    <t>Ireland</t>
  </si>
  <si>
    <t>Portugal</t>
  </si>
  <si>
    <t>Share of CAPEX in allowable revenue</t>
  </si>
  <si>
    <t>OPEX Growth</t>
  </si>
  <si>
    <t>Starting RAB Europe</t>
  </si>
  <si>
    <t>B EUR</t>
  </si>
  <si>
    <t>Opening RAB</t>
  </si>
  <si>
    <t>CAPEX addition</t>
  </si>
  <si>
    <t>Depreciation</t>
  </si>
  <si>
    <t>New RAB</t>
  </si>
  <si>
    <t>Max allowable Revenue CAPEX</t>
  </si>
  <si>
    <t>OPEX</t>
  </si>
  <si>
    <t>Max allowable Revenue</t>
  </si>
  <si>
    <t>Ratio tariff impact (normalised to 2020)</t>
  </si>
  <si>
    <t>Price impact calculation</t>
  </si>
  <si>
    <t>today's distribution tariff</t>
  </si>
  <si>
    <t>EUR/MWh</t>
  </si>
  <si>
    <t>TWh</t>
  </si>
  <si>
    <t>2020 elec consumption</t>
  </si>
  <si>
    <t>TWh DSO</t>
  </si>
  <si>
    <t>Assumption DSO share consumption</t>
  </si>
  <si>
    <t>Ratio Consumption</t>
  </si>
  <si>
    <t>Estimated DSO revenue</t>
  </si>
  <si>
    <t>billion EUR</t>
  </si>
  <si>
    <t>Ratio revenue</t>
  </si>
  <si>
    <t>Check error against Max Allowable Revenue from revenue model</t>
  </si>
  <si>
    <t>revenue</t>
  </si>
  <si>
    <t>distribution charges (EUR/MWh)</t>
  </si>
  <si>
    <t>Verbal Input on share of distribution consumption in national total</t>
  </si>
  <si>
    <t>France</t>
  </si>
  <si>
    <t xml:space="preserve">Share of electricity </t>
  </si>
  <si>
    <t>Eurostat - T&amp;D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</si>
</sst>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0" fontId="2" fillId="4" borderId="0" xfId="0" applyFont="1" applyFill="1"/>
    <xf numFmtId="164" fontId="0" fillId="2" borderId="0" xfId="1" applyNumberFormat="1" applyFont="1" applyFill="1"/>
    <xf numFmtId="164" fontId="0" fillId="3" borderId="0" xfId="1" applyNumberFormat="1" applyFont="1" applyFill="1"/>
    <xf numFmtId="0" fontId="2" fillId="5" borderId="0" xfId="0" applyFont="1" applyFill="1"/>
    <xf numFmtId="2" fontId="0" fillId="5" borderId="0" xfId="0" applyNumberFormat="1" applyFill="1"/>
    <xf numFmtId="9" fontId="0" fillId="2" borderId="0" xfId="1" applyFont="1" applyFill="1"/>
    <xf numFmtId="1" fontId="0" fillId="2" borderId="0" xfId="0" applyNumberFormat="1" applyFill="1"/>
    <xf numFmtId="2" fontId="0" fillId="0" borderId="0" xfId="0" applyNumberFormat="1"/>
    <xf numFmtId="2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0" fontId="3" fillId="9" borderId="0" xfId="0" applyFont="1" applyFill="1"/>
    <xf numFmtId="0" fontId="4" fillId="9" borderId="0" xfId="0" applyFont="1" applyFill="1"/>
    <xf numFmtId="9" fontId="0" fillId="0" borderId="0" xfId="1" applyFont="1"/>
    <xf numFmtId="0" fontId="5" fillId="0" borderId="0" xfId="0" applyFont="1"/>
    <xf numFmtId="9" fontId="5" fillId="0" borderId="0" xfId="1" applyFont="1"/>
    <xf numFmtId="2" fontId="0" fillId="7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Sheet1!$F$31:$I$31</c:f>
              <c:numCache>
                <c:formatCode>0.00</c:formatCode>
                <c:ptCount val="4"/>
                <c:pt idx="0">
                  <c:v>1</c:v>
                </c:pt>
                <c:pt idx="1">
                  <c:v>1.4372133218520737</c:v>
                </c:pt>
                <c:pt idx="2">
                  <c:v>1.6172609755976488</c:v>
                </c:pt>
                <c:pt idx="3">
                  <c:v>1.7879232928784845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9-43F5-A228-F5243FB7D3A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Sheet1!$F$32:$I$32</c:f>
              <c:numCache>
                <c:formatCode>0.00</c:formatCode>
                <c:ptCount val="4"/>
                <c:pt idx="0">
                  <c:v>1</c:v>
                </c:pt>
                <c:pt idx="1">
                  <c:v>1.3010337105383805</c:v>
                </c:pt>
                <c:pt idx="2">
                  <c:v>1.5877730009711892</c:v>
                </c:pt>
                <c:pt idx="3">
                  <c:v>1.822734359294921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9-43F5-A228-F5243FB7D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968447"/>
        <c:axId val="779046431"/>
      </c:lineChart>
      <c:catAx>
        <c:axId val="8729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46431"/>
        <c:crosses val="autoZero"/>
        <c:auto val="1"/>
        <c:lblAlgn val="ctr"/>
        <c:lblOffset val="100"/>
        <c:noMultiLvlLbl val="0"/>
      </c:catAx>
      <c:valAx>
        <c:axId val="7790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relative change (2018=1)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96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'Sheet1 (2)'!$F$36:$I$36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'Sheet1 (2)'!$F$31:$I$31</c:f>
              <c:numCache>
                <c:formatCode>0.00</c:formatCode>
                <c:ptCount val="4"/>
                <c:pt idx="0">
                  <c:v>1</c:v>
                </c:pt>
                <c:pt idx="1">
                  <c:v>1.4372133218520737</c:v>
                </c:pt>
                <c:pt idx="2">
                  <c:v>1.6172609755976488</c:v>
                </c:pt>
                <c:pt idx="3">
                  <c:v>1.7879232928784845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0-4497-9243-43475214180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'Sheet1 (2)'!$F$36:$I$36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'Sheet1 (2)'!$F$32:$I$32</c:f>
              <c:numCache>
                <c:formatCode>0.00</c:formatCode>
                <c:ptCount val="4"/>
                <c:pt idx="0">
                  <c:v>1</c:v>
                </c:pt>
                <c:pt idx="1">
                  <c:v>1.2992202773779853</c:v>
                </c:pt>
                <c:pt idx="2">
                  <c:v>1.6412021665423422</c:v>
                </c:pt>
                <c:pt idx="3">
                  <c:v>1.8543482336050894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0-4497-9243-434752141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968447"/>
        <c:axId val="779046431"/>
      </c:lineChart>
      <c:catAx>
        <c:axId val="8729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46431"/>
        <c:crosses val="autoZero"/>
        <c:auto val="1"/>
        <c:lblAlgn val="ctr"/>
        <c:lblOffset val="100"/>
        <c:noMultiLvlLbl val="0"/>
      </c:catAx>
      <c:valAx>
        <c:axId val="7790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relative change (2018=1)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96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82037</xdr:colOff>
      <xdr:row>24</xdr:row>
      <xdr:rowOff>39022</xdr:rowOff>
    </xdr:from>
    <xdr:to>
      <xdr:col>20</xdr:col>
      <xdr:colOff>407505</xdr:colOff>
      <xdr:row>36</xdr:row>
      <xdr:rowOff>121027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BADFB1-4F23-E689-7486-85D1E2F09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4001" y="4611022"/>
          <a:ext cx="3393425" cy="2368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262284</xdr:colOff>
      <xdr:row>36</xdr:row>
      <xdr:rowOff>45908</xdr:rowOff>
    </xdr:from>
    <xdr:to>
      <xdr:col>20</xdr:col>
      <xdr:colOff>582545</xdr:colOff>
      <xdr:row>51</xdr:row>
      <xdr:rowOff>55848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127010-5C86-B944-95DD-2CC576940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82037</xdr:colOff>
      <xdr:row>24</xdr:row>
      <xdr:rowOff>39022</xdr:rowOff>
    </xdr:from>
    <xdr:to>
      <xdr:col>20</xdr:col>
      <xdr:colOff>407505</xdr:colOff>
      <xdr:row>36</xdr:row>
      <xdr:rowOff>121027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28A12-26CE-4E1E-BFB9-E6B927980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362" y="4382422"/>
          <a:ext cx="3370293" cy="2253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262284</xdr:colOff>
      <xdr:row>36</xdr:row>
      <xdr:rowOff>45908</xdr:rowOff>
    </xdr:from>
    <xdr:to>
      <xdr:col>20</xdr:col>
      <xdr:colOff>582545</xdr:colOff>
      <xdr:row>51</xdr:row>
      <xdr:rowOff>55848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391F05-E531-4EC1-A432-0B7373B2E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ve Heinen" id="{C92B85AD-6D38-4C22-9528-147BAC825323}" userId="S::Steve.Heinen@lu.ey.com::cbcfff49-5fb2-4f18-a112-301f10e73bb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8" dT="2024-03-25T17:08:20.11" personId="{C92B85AD-6D38-4C22-9528-147BAC825323}" id="{FCA4676D-1AF7-4E00-914A-81E97EC30451}">
    <text>Assuming the depreciation does not grow after 2030 as the fleet age is reduced due to influx of new investment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8" dT="2024-03-25T17:08:20.11" personId="{C92B85AD-6D38-4C22-9528-147BAC825323}" id="{7C15405D-412F-4299-864F-3C6DE1EDDE29}">
    <text>Assuming the depreciation does not grow after 2030 as the fleet age is reduced due to influx of new investment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0794-A798-4088-A1C1-99D9F6E9ED97}">
  <dimension ref="A1:AU48"/>
  <sheetViews>
    <sheetView tabSelected="1" topLeftCell="A4" zoomScale="70" zoomScaleNormal="70" workbookViewId="0">
      <selection activeCell="L29" sqref="L29"/>
    </sheetView>
  </sheetViews>
  <sheetFormatPr defaultRowHeight="14.5" x14ac:dyDescent="0.35"/>
  <cols>
    <col min="1" max="1" width="39.1796875" customWidth="1"/>
    <col min="2" max="2" width="11.81640625" bestFit="1" customWidth="1"/>
  </cols>
  <sheetData>
    <row r="1" spans="1:47" x14ac:dyDescent="0.35">
      <c r="B1" s="2" t="s">
        <v>0</v>
      </c>
    </row>
    <row r="2" spans="1:47" x14ac:dyDescent="0.35">
      <c r="B2" s="3" t="s">
        <v>1</v>
      </c>
    </row>
    <row r="4" spans="1:47" x14ac:dyDescent="0.35">
      <c r="A4" s="16" t="s">
        <v>2</v>
      </c>
      <c r="B4" s="16"/>
      <c r="C4" s="16"/>
      <c r="D4" s="16"/>
      <c r="E4" s="16"/>
      <c r="F4" s="16"/>
      <c r="G4" s="16"/>
      <c r="H4" s="16"/>
      <c r="I4" s="16"/>
    </row>
    <row r="6" spans="1:47" x14ac:dyDescent="0.35">
      <c r="A6" t="s">
        <v>3</v>
      </c>
      <c r="B6" t="s">
        <v>4</v>
      </c>
    </row>
    <row r="8" spans="1:47" x14ac:dyDescent="0.35">
      <c r="A8" s="1" t="s">
        <v>5</v>
      </c>
      <c r="B8" s="6">
        <v>5.3999999999999999E-2</v>
      </c>
    </row>
    <row r="9" spans="1:47" x14ac:dyDescent="0.35">
      <c r="A9" s="1" t="s">
        <v>6</v>
      </c>
      <c r="B9" s="2">
        <v>42</v>
      </c>
      <c r="E9" t="s">
        <v>7</v>
      </c>
    </row>
    <row r="10" spans="1:47" x14ac:dyDescent="0.35">
      <c r="A10" s="1" t="s">
        <v>8</v>
      </c>
      <c r="B10" s="7">
        <f>1/B9</f>
        <v>2.3809523809523808E-2</v>
      </c>
      <c r="E10" t="s">
        <v>9</v>
      </c>
      <c r="F10" t="s">
        <v>10</v>
      </c>
      <c r="G10" t="s">
        <v>11</v>
      </c>
      <c r="H10" t="s">
        <v>12</v>
      </c>
    </row>
    <row r="11" spans="1:47" x14ac:dyDescent="0.35">
      <c r="A11" s="1" t="s">
        <v>13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35">
      <c r="A12" s="1" t="s">
        <v>14</v>
      </c>
      <c r="B12" s="10">
        <v>0.01</v>
      </c>
    </row>
    <row r="13" spans="1:47" x14ac:dyDescent="0.35">
      <c r="A13" s="1" t="s">
        <v>15</v>
      </c>
      <c r="B13" s="2">
        <v>700</v>
      </c>
      <c r="C13" t="s">
        <v>16</v>
      </c>
    </row>
    <row r="15" spans="1:47" x14ac:dyDescent="0.35">
      <c r="A15" s="5" t="s">
        <v>16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>
        <v>2041</v>
      </c>
      <c r="X15" s="5">
        <v>2042</v>
      </c>
      <c r="Y15" s="5">
        <v>2043</v>
      </c>
      <c r="Z15" s="5">
        <v>2044</v>
      </c>
      <c r="AA15" s="5">
        <v>2045</v>
      </c>
      <c r="AB15" s="5">
        <v>2046</v>
      </c>
      <c r="AC15" s="5">
        <v>2047</v>
      </c>
      <c r="AD15" s="5">
        <v>2048</v>
      </c>
      <c r="AE15" s="5">
        <v>2049</v>
      </c>
      <c r="AF15" s="5">
        <v>2050</v>
      </c>
      <c r="AG15" s="5">
        <v>2051</v>
      </c>
      <c r="AH15" s="5">
        <v>2052</v>
      </c>
      <c r="AI15" s="5">
        <v>2053</v>
      </c>
      <c r="AJ15" s="5">
        <v>2054</v>
      </c>
      <c r="AK15" s="5">
        <v>2055</v>
      </c>
      <c r="AL15" s="5">
        <v>2056</v>
      </c>
      <c r="AM15" s="5">
        <v>2057</v>
      </c>
      <c r="AN15" s="5">
        <v>2058</v>
      </c>
      <c r="AO15" s="5">
        <v>2059</v>
      </c>
      <c r="AP15" s="5">
        <v>2060</v>
      </c>
      <c r="AQ15" s="5">
        <v>2061</v>
      </c>
      <c r="AR15" s="5">
        <v>2062</v>
      </c>
      <c r="AS15" s="5">
        <v>2063</v>
      </c>
      <c r="AT15" s="5">
        <v>2064</v>
      </c>
      <c r="AU15" s="5">
        <v>2065</v>
      </c>
    </row>
    <row r="16" spans="1:47" x14ac:dyDescent="0.35">
      <c r="A16" s="5" t="s">
        <v>17</v>
      </c>
      <c r="B16" s="3">
        <f>B13</f>
        <v>700</v>
      </c>
      <c r="C16" s="4">
        <f>B19</f>
        <v>712.33333333333337</v>
      </c>
      <c r="D16" s="4">
        <f>C19</f>
        <v>727.3730158730159</v>
      </c>
      <c r="E16" s="4">
        <f>D19</f>
        <v>745.05461073318224</v>
      </c>
      <c r="F16" s="4">
        <f>E19</f>
        <v>763.31521523953506</v>
      </c>
      <c r="G16" s="4">
        <f t="shared" ref="G16:AF16" si="0">F19</f>
        <v>785.14104344811756</v>
      </c>
      <c r="H16" s="4">
        <f t="shared" si="0"/>
        <v>826.44720908030524</v>
      </c>
      <c r="I16" s="4">
        <f t="shared" si="0"/>
        <v>878.76989457839318</v>
      </c>
      <c r="J16" s="4">
        <f t="shared" si="0"/>
        <v>929.84680185033619</v>
      </c>
      <c r="K16" s="4">
        <f t="shared" si="0"/>
        <v>979.70759228247107</v>
      </c>
      <c r="L16" s="4">
        <f t="shared" si="0"/>
        <v>1028.3812210376502</v>
      </c>
      <c r="M16" s="4">
        <f t="shared" si="0"/>
        <v>1075.8959538700872</v>
      </c>
      <c r="N16" s="4">
        <f t="shared" si="0"/>
        <v>1123.4106867025241</v>
      </c>
      <c r="O16" s="4">
        <f t="shared" si="0"/>
        <v>1170.9254195349611</v>
      </c>
      <c r="P16" s="4">
        <f t="shared" si="0"/>
        <v>1218.440152367398</v>
      </c>
      <c r="Q16" s="4">
        <f t="shared" si="0"/>
        <v>1265.954885199835</v>
      </c>
      <c r="R16" s="4">
        <f t="shared" si="0"/>
        <v>1313.4696180322719</v>
      </c>
      <c r="S16" s="4">
        <f t="shared" si="0"/>
        <v>1360.9843508647089</v>
      </c>
      <c r="T16" s="4">
        <f t="shared" si="0"/>
        <v>1408.4990836971458</v>
      </c>
      <c r="U16" s="4">
        <f t="shared" si="0"/>
        <v>1456.0138165295828</v>
      </c>
      <c r="V16" s="4">
        <f t="shared" si="0"/>
        <v>1503.5285493620197</v>
      </c>
      <c r="W16" s="4">
        <f t="shared" si="0"/>
        <v>1551.0432821944567</v>
      </c>
      <c r="X16" s="4">
        <f t="shared" si="0"/>
        <v>1586.5580150268936</v>
      </c>
      <c r="Y16" s="4">
        <f t="shared" si="0"/>
        <v>1622.0727478593305</v>
      </c>
      <c r="Z16" s="4">
        <f t="shared" si="0"/>
        <v>1657.5874806917675</v>
      </c>
      <c r="AA16" s="4">
        <f t="shared" si="0"/>
        <v>1693.1022135242044</v>
      </c>
      <c r="AB16" s="4">
        <f t="shared" si="0"/>
        <v>1728.6169463566414</v>
      </c>
      <c r="AC16" s="4">
        <f t="shared" si="0"/>
        <v>1764.1316791890783</v>
      </c>
      <c r="AD16" s="4">
        <f t="shared" si="0"/>
        <v>1799.6464120215153</v>
      </c>
      <c r="AE16" s="4">
        <f t="shared" si="0"/>
        <v>1835.1611448539522</v>
      </c>
      <c r="AF16" s="4">
        <f t="shared" si="0"/>
        <v>1870.6758776863892</v>
      </c>
      <c r="AG16" s="4">
        <f t="shared" ref="AG16" si="1">AF19</f>
        <v>1906.1906105188261</v>
      </c>
      <c r="AH16" s="4">
        <f t="shared" ref="AH16" si="2">AG19</f>
        <v>1941.7053433512631</v>
      </c>
      <c r="AI16" s="4">
        <f t="shared" ref="AI16" si="3">AH19</f>
        <v>1977.2200761837</v>
      </c>
      <c r="AJ16" s="4">
        <f t="shared" ref="AJ16" si="4">AI19</f>
        <v>2012.734809016137</v>
      </c>
      <c r="AK16" s="4">
        <f t="shared" ref="AK16" si="5">AJ19</f>
        <v>2048.2495418485737</v>
      </c>
      <c r="AL16" s="4">
        <f t="shared" ref="AL16" si="6">AK19</f>
        <v>2083.7642746810106</v>
      </c>
      <c r="AM16" s="4">
        <f t="shared" ref="AM16" si="7">AL19</f>
        <v>2119.2790075134476</v>
      </c>
      <c r="AN16" s="4">
        <f t="shared" ref="AN16" si="8">AM19</f>
        <v>2154.7937403458845</v>
      </c>
      <c r="AO16" s="4">
        <f t="shared" ref="AO16" si="9">AN19</f>
        <v>2190.3084731783215</v>
      </c>
      <c r="AP16" s="4">
        <f t="shared" ref="AP16" si="10">AO19</f>
        <v>2225.8232060107584</v>
      </c>
      <c r="AQ16" s="4">
        <f t="shared" ref="AQ16" si="11">AP19</f>
        <v>2261.3379388431954</v>
      </c>
      <c r="AR16" s="4">
        <f t="shared" ref="AR16" si="12">AQ19</f>
        <v>2296.8526716756323</v>
      </c>
      <c r="AS16" s="4">
        <f t="shared" ref="AS16" si="13">AR19</f>
        <v>2332.3674045080693</v>
      </c>
      <c r="AT16" s="4">
        <f t="shared" ref="AT16" si="14">AS19</f>
        <v>2367.8821373405062</v>
      </c>
      <c r="AU16" s="4">
        <f t="shared" ref="AU16" si="15">AT19</f>
        <v>2403.3968701729432</v>
      </c>
    </row>
    <row r="17" spans="1:47" x14ac:dyDescent="0.35">
      <c r="A17" s="5" t="s">
        <v>18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72</v>
      </c>
      <c r="I17" s="2">
        <v>72</v>
      </c>
      <c r="J17" s="2">
        <v>72</v>
      </c>
      <c r="K17" s="2">
        <v>72</v>
      </c>
      <c r="L17" s="2">
        <v>72</v>
      </c>
      <c r="M17" s="2">
        <v>72</v>
      </c>
      <c r="N17" s="2">
        <v>72</v>
      </c>
      <c r="O17" s="2">
        <v>72</v>
      </c>
      <c r="P17" s="2">
        <v>72</v>
      </c>
      <c r="Q17" s="2">
        <v>72</v>
      </c>
      <c r="R17" s="2">
        <v>72</v>
      </c>
      <c r="S17" s="2">
        <v>72</v>
      </c>
      <c r="T17" s="2">
        <v>72</v>
      </c>
      <c r="U17" s="2">
        <v>72</v>
      </c>
      <c r="V17" s="2">
        <v>72</v>
      </c>
      <c r="W17" s="2">
        <v>60</v>
      </c>
      <c r="X17" s="2">
        <v>60</v>
      </c>
      <c r="Y17" s="2">
        <v>60</v>
      </c>
      <c r="Z17" s="2">
        <v>60</v>
      </c>
      <c r="AA17" s="2">
        <v>60</v>
      </c>
      <c r="AB17" s="2">
        <v>60</v>
      </c>
      <c r="AC17" s="2">
        <v>60</v>
      </c>
      <c r="AD17" s="2">
        <v>60</v>
      </c>
      <c r="AE17" s="2">
        <v>60</v>
      </c>
      <c r="AF17" s="2">
        <v>60</v>
      </c>
      <c r="AG17" s="2">
        <v>60</v>
      </c>
      <c r="AH17" s="2">
        <v>60</v>
      </c>
      <c r="AI17" s="2">
        <v>60</v>
      </c>
      <c r="AJ17" s="2">
        <v>60</v>
      </c>
      <c r="AK17" s="2">
        <v>60</v>
      </c>
      <c r="AL17" s="2">
        <v>60</v>
      </c>
      <c r="AM17" s="2">
        <v>60</v>
      </c>
      <c r="AN17" s="2">
        <v>60</v>
      </c>
      <c r="AO17" s="2">
        <v>60</v>
      </c>
      <c r="AP17" s="2">
        <v>60</v>
      </c>
      <c r="AQ17" s="2">
        <v>60</v>
      </c>
      <c r="AR17" s="2">
        <v>60</v>
      </c>
      <c r="AS17" s="2">
        <v>60</v>
      </c>
      <c r="AT17" s="2">
        <v>60</v>
      </c>
      <c r="AU17" s="2">
        <v>60</v>
      </c>
    </row>
    <row r="18" spans="1:47" x14ac:dyDescent="0.35">
      <c r="A18" s="5" t="s">
        <v>19</v>
      </c>
      <c r="B18" s="4">
        <f>(B16*$B10)</f>
        <v>16.666666666666664</v>
      </c>
      <c r="C18" s="4">
        <f t="shared" ref="C18:L18" si="16">(C16*$B10)</f>
        <v>16.960317460317459</v>
      </c>
      <c r="D18" s="4">
        <f t="shared" si="16"/>
        <v>17.318405139833711</v>
      </c>
      <c r="E18" s="4">
        <f t="shared" si="16"/>
        <v>17.739395493647194</v>
      </c>
      <c r="F18" s="4">
        <f t="shared" si="16"/>
        <v>18.1741717914175</v>
      </c>
      <c r="G18" s="4">
        <f t="shared" si="16"/>
        <v>18.693834367812322</v>
      </c>
      <c r="H18" s="4">
        <f t="shared" si="16"/>
        <v>19.677314501912029</v>
      </c>
      <c r="I18" s="4">
        <f t="shared" si="16"/>
        <v>20.923092728056979</v>
      </c>
      <c r="J18" s="4">
        <f t="shared" si="16"/>
        <v>22.139209567865148</v>
      </c>
      <c r="K18" s="4">
        <f t="shared" si="16"/>
        <v>23.326371244820738</v>
      </c>
      <c r="L18" s="4">
        <f t="shared" si="16"/>
        <v>24.485267167563098</v>
      </c>
      <c r="M18" s="15">
        <f>L18</f>
        <v>24.485267167563098</v>
      </c>
      <c r="N18" s="15">
        <f t="shared" ref="N18:AF18" si="17">M18</f>
        <v>24.485267167563098</v>
      </c>
      <c r="O18" s="15">
        <f t="shared" si="17"/>
        <v>24.485267167563098</v>
      </c>
      <c r="P18" s="15">
        <f t="shared" si="17"/>
        <v>24.485267167563098</v>
      </c>
      <c r="Q18" s="15">
        <f t="shared" si="17"/>
        <v>24.485267167563098</v>
      </c>
      <c r="R18" s="15">
        <f t="shared" si="17"/>
        <v>24.485267167563098</v>
      </c>
      <c r="S18" s="15">
        <f t="shared" si="17"/>
        <v>24.485267167563098</v>
      </c>
      <c r="T18" s="15">
        <f t="shared" si="17"/>
        <v>24.485267167563098</v>
      </c>
      <c r="U18" s="15">
        <f t="shared" si="17"/>
        <v>24.485267167563098</v>
      </c>
      <c r="V18" s="15">
        <f t="shared" si="17"/>
        <v>24.485267167563098</v>
      </c>
      <c r="W18" s="15">
        <f t="shared" si="17"/>
        <v>24.485267167563098</v>
      </c>
      <c r="X18" s="15">
        <f t="shared" si="17"/>
        <v>24.485267167563098</v>
      </c>
      <c r="Y18" s="15">
        <f t="shared" si="17"/>
        <v>24.485267167563098</v>
      </c>
      <c r="Z18" s="15">
        <f t="shared" si="17"/>
        <v>24.485267167563098</v>
      </c>
      <c r="AA18" s="15">
        <f t="shared" si="17"/>
        <v>24.485267167563098</v>
      </c>
      <c r="AB18" s="15">
        <f t="shared" si="17"/>
        <v>24.485267167563098</v>
      </c>
      <c r="AC18" s="15">
        <f t="shared" si="17"/>
        <v>24.485267167563098</v>
      </c>
      <c r="AD18" s="15">
        <f t="shared" si="17"/>
        <v>24.485267167563098</v>
      </c>
      <c r="AE18" s="15">
        <f t="shared" si="17"/>
        <v>24.485267167563098</v>
      </c>
      <c r="AF18" s="15">
        <f t="shared" si="17"/>
        <v>24.485267167563098</v>
      </c>
      <c r="AG18" s="15">
        <f t="shared" ref="AG18" si="18">AF18</f>
        <v>24.485267167563098</v>
      </c>
      <c r="AH18" s="15">
        <f t="shared" ref="AH18" si="19">AG18</f>
        <v>24.485267167563098</v>
      </c>
      <c r="AI18" s="15">
        <f t="shared" ref="AI18" si="20">AH18</f>
        <v>24.485267167563098</v>
      </c>
      <c r="AJ18" s="15">
        <f t="shared" ref="AJ18" si="21">AI18</f>
        <v>24.485267167563098</v>
      </c>
      <c r="AK18" s="15">
        <f t="shared" ref="AK18" si="22">AJ18</f>
        <v>24.485267167563098</v>
      </c>
      <c r="AL18" s="15">
        <f t="shared" ref="AL18" si="23">AK18</f>
        <v>24.485267167563098</v>
      </c>
      <c r="AM18" s="15">
        <f t="shared" ref="AM18" si="24">AL18</f>
        <v>24.485267167563098</v>
      </c>
      <c r="AN18" s="15">
        <f t="shared" ref="AN18" si="25">AM18</f>
        <v>24.485267167563098</v>
      </c>
      <c r="AO18" s="15">
        <f t="shared" ref="AO18" si="26">AN18</f>
        <v>24.485267167563098</v>
      </c>
      <c r="AP18" s="15">
        <f t="shared" ref="AP18" si="27">AO18</f>
        <v>24.485267167563098</v>
      </c>
      <c r="AQ18" s="15">
        <f t="shared" ref="AQ18" si="28">AP18</f>
        <v>24.485267167563098</v>
      </c>
      <c r="AR18" s="15">
        <f t="shared" ref="AR18" si="29">AQ18</f>
        <v>24.485267167563098</v>
      </c>
      <c r="AS18" s="15">
        <f t="shared" ref="AS18" si="30">AR18</f>
        <v>24.485267167563098</v>
      </c>
      <c r="AT18" s="15">
        <f t="shared" ref="AT18" si="31">AS18</f>
        <v>24.485267167563098</v>
      </c>
      <c r="AU18" s="15">
        <f t="shared" ref="AU18" si="32">AT18</f>
        <v>24.485267167563098</v>
      </c>
    </row>
    <row r="19" spans="1:47" x14ac:dyDescent="0.35">
      <c r="A19" s="5" t="s">
        <v>20</v>
      </c>
      <c r="B19" s="4">
        <f>B16+B17-B18</f>
        <v>712.33333333333337</v>
      </c>
      <c r="C19" s="4">
        <f>C16+C17-C18</f>
        <v>727.3730158730159</v>
      </c>
      <c r="D19" s="4">
        <f>D16+D17-D18</f>
        <v>745.05461073318224</v>
      </c>
      <c r="E19" s="4">
        <f>E16+E17-E18</f>
        <v>763.31521523953506</v>
      </c>
      <c r="F19" s="4">
        <f>F16+F17-F18</f>
        <v>785.14104344811756</v>
      </c>
      <c r="G19" s="4">
        <f t="shared" ref="G19:AF19" si="33">G16+G17-G18</f>
        <v>826.44720908030524</v>
      </c>
      <c r="H19" s="4">
        <f t="shared" si="33"/>
        <v>878.76989457839318</v>
      </c>
      <c r="I19" s="4">
        <f t="shared" si="33"/>
        <v>929.84680185033619</v>
      </c>
      <c r="J19" s="4">
        <f t="shared" si="33"/>
        <v>979.70759228247107</v>
      </c>
      <c r="K19" s="4">
        <f t="shared" si="33"/>
        <v>1028.3812210376502</v>
      </c>
      <c r="L19" s="4">
        <f t="shared" si="33"/>
        <v>1075.8959538700872</v>
      </c>
      <c r="M19" s="4">
        <f t="shared" si="33"/>
        <v>1123.4106867025241</v>
      </c>
      <c r="N19" s="4">
        <f t="shared" si="33"/>
        <v>1170.9254195349611</v>
      </c>
      <c r="O19" s="4">
        <f t="shared" si="33"/>
        <v>1218.440152367398</v>
      </c>
      <c r="P19" s="4">
        <f t="shared" si="33"/>
        <v>1265.954885199835</v>
      </c>
      <c r="Q19" s="4">
        <f t="shared" si="33"/>
        <v>1313.4696180322719</v>
      </c>
      <c r="R19" s="4">
        <f t="shared" si="33"/>
        <v>1360.9843508647089</v>
      </c>
      <c r="S19" s="4">
        <f t="shared" si="33"/>
        <v>1408.4990836971458</v>
      </c>
      <c r="T19" s="4">
        <f t="shared" si="33"/>
        <v>1456.0138165295828</v>
      </c>
      <c r="U19" s="4">
        <f t="shared" si="33"/>
        <v>1503.5285493620197</v>
      </c>
      <c r="V19" s="4">
        <f t="shared" si="33"/>
        <v>1551.0432821944567</v>
      </c>
      <c r="W19" s="4">
        <f t="shared" si="33"/>
        <v>1586.5580150268936</v>
      </c>
      <c r="X19" s="4">
        <f t="shared" si="33"/>
        <v>1622.0727478593305</v>
      </c>
      <c r="Y19" s="4">
        <f t="shared" si="33"/>
        <v>1657.5874806917675</v>
      </c>
      <c r="Z19" s="4">
        <f t="shared" si="33"/>
        <v>1693.1022135242044</v>
      </c>
      <c r="AA19" s="4">
        <f t="shared" si="33"/>
        <v>1728.6169463566414</v>
      </c>
      <c r="AB19" s="4">
        <f t="shared" si="33"/>
        <v>1764.1316791890783</v>
      </c>
      <c r="AC19" s="4">
        <f t="shared" si="33"/>
        <v>1799.6464120215153</v>
      </c>
      <c r="AD19" s="4">
        <f t="shared" si="33"/>
        <v>1835.1611448539522</v>
      </c>
      <c r="AE19" s="4">
        <f t="shared" si="33"/>
        <v>1870.6758776863892</v>
      </c>
      <c r="AF19" s="4">
        <f t="shared" si="33"/>
        <v>1906.1906105188261</v>
      </c>
      <c r="AG19" s="4">
        <f t="shared" ref="AG19:AU19" si="34">AG16+AG17-AG18</f>
        <v>1941.7053433512631</v>
      </c>
      <c r="AH19" s="4">
        <f t="shared" si="34"/>
        <v>1977.2200761837</v>
      </c>
      <c r="AI19" s="4">
        <f t="shared" si="34"/>
        <v>2012.734809016137</v>
      </c>
      <c r="AJ19" s="4">
        <f t="shared" si="34"/>
        <v>2048.2495418485737</v>
      </c>
      <c r="AK19" s="4">
        <f t="shared" si="34"/>
        <v>2083.7642746810106</v>
      </c>
      <c r="AL19" s="4">
        <f t="shared" si="34"/>
        <v>2119.2790075134476</v>
      </c>
      <c r="AM19" s="4">
        <f t="shared" si="34"/>
        <v>2154.7937403458845</v>
      </c>
      <c r="AN19" s="4">
        <f t="shared" si="34"/>
        <v>2190.3084731783215</v>
      </c>
      <c r="AO19" s="4">
        <f t="shared" si="34"/>
        <v>2225.8232060107584</v>
      </c>
      <c r="AP19" s="4">
        <f t="shared" si="34"/>
        <v>2261.3379388431954</v>
      </c>
      <c r="AQ19" s="4">
        <f t="shared" si="34"/>
        <v>2296.8526716756323</v>
      </c>
      <c r="AR19" s="4">
        <f t="shared" si="34"/>
        <v>2332.3674045080693</v>
      </c>
      <c r="AS19" s="4">
        <f t="shared" si="34"/>
        <v>2367.8821373405062</v>
      </c>
      <c r="AT19" s="4">
        <f t="shared" si="34"/>
        <v>2403.3968701729432</v>
      </c>
      <c r="AU19" s="4">
        <f t="shared" si="34"/>
        <v>2438.9116030053801</v>
      </c>
    </row>
    <row r="20" spans="1:47" x14ac:dyDescent="0.35">
      <c r="A20" s="5" t="s">
        <v>21</v>
      </c>
      <c r="B20" s="4">
        <f>(B16+B17)*$B8+B18</f>
        <v>56.032666666666664</v>
      </c>
      <c r="C20" s="4">
        <f t="shared" ref="C20:AF20" si="35">(C16+C17)*$B8+C18</f>
        <v>57.154317460317458</v>
      </c>
      <c r="D20" s="4">
        <f t="shared" si="35"/>
        <v>58.486547996976569</v>
      </c>
      <c r="E20" s="4">
        <f t="shared" si="35"/>
        <v>59.916344473239036</v>
      </c>
      <c r="F20" s="4">
        <f t="shared" si="35"/>
        <v>61.553193414352393</v>
      </c>
      <c r="G20" s="4">
        <f t="shared" si="35"/>
        <v>64.331450714010671</v>
      </c>
      <c r="H20" s="4">
        <f t="shared" si="35"/>
        <v>68.193463792248508</v>
      </c>
      <c r="I20" s="4">
        <f t="shared" si="35"/>
        <v>72.264667035290216</v>
      </c>
      <c r="J20" s="4">
        <f t="shared" si="35"/>
        <v>76.238936867783295</v>
      </c>
      <c r="K20" s="4">
        <f t="shared" si="35"/>
        <v>80.118581228074177</v>
      </c>
      <c r="L20" s="4">
        <f t="shared" si="35"/>
        <v>83.905853103596215</v>
      </c>
      <c r="M20" s="4">
        <f t="shared" si="35"/>
        <v>86.471648676547801</v>
      </c>
      <c r="N20" s="4">
        <f t="shared" si="35"/>
        <v>89.037444249499401</v>
      </c>
      <c r="O20" s="4">
        <f t="shared" si="35"/>
        <v>91.603239822450988</v>
      </c>
      <c r="P20" s="4">
        <f t="shared" si="35"/>
        <v>94.169035395402588</v>
      </c>
      <c r="Q20" s="4">
        <f t="shared" si="35"/>
        <v>96.734830968354188</v>
      </c>
      <c r="R20" s="4">
        <f t="shared" si="35"/>
        <v>99.300626541305775</v>
      </c>
      <c r="S20" s="4">
        <f t="shared" si="35"/>
        <v>101.86642211425738</v>
      </c>
      <c r="T20" s="4">
        <f t="shared" si="35"/>
        <v>104.43221768720896</v>
      </c>
      <c r="U20" s="4">
        <f t="shared" si="35"/>
        <v>106.99801326016056</v>
      </c>
      <c r="V20" s="4">
        <f t="shared" si="35"/>
        <v>109.56380883311216</v>
      </c>
      <c r="W20" s="4">
        <f t="shared" si="35"/>
        <v>111.48160440606375</v>
      </c>
      <c r="X20" s="4">
        <f t="shared" si="35"/>
        <v>113.39939997901534</v>
      </c>
      <c r="Y20" s="4">
        <f t="shared" si="35"/>
        <v>115.31719555196695</v>
      </c>
      <c r="Z20" s="4">
        <f t="shared" si="35"/>
        <v>117.23499112491854</v>
      </c>
      <c r="AA20" s="4">
        <f t="shared" si="35"/>
        <v>119.15278669787013</v>
      </c>
      <c r="AB20" s="4">
        <f t="shared" si="35"/>
        <v>121.07058227082173</v>
      </c>
      <c r="AC20" s="4">
        <f t="shared" si="35"/>
        <v>122.98837784377332</v>
      </c>
      <c r="AD20" s="4">
        <f t="shared" si="35"/>
        <v>124.90617341672493</v>
      </c>
      <c r="AE20" s="4">
        <f t="shared" si="35"/>
        <v>126.82396898967652</v>
      </c>
      <c r="AF20" s="4">
        <f t="shared" si="35"/>
        <v>128.74176456262811</v>
      </c>
      <c r="AG20" s="4">
        <f t="shared" ref="AG20:AU20" si="36">(AG16+AG17)*$B8+AG18</f>
        <v>130.65956013557971</v>
      </c>
      <c r="AH20" s="4">
        <f t="shared" si="36"/>
        <v>132.57735570853131</v>
      </c>
      <c r="AI20" s="4">
        <f t="shared" si="36"/>
        <v>134.49515128148289</v>
      </c>
      <c r="AJ20" s="4">
        <f t="shared" si="36"/>
        <v>136.41294685443449</v>
      </c>
      <c r="AK20" s="4">
        <f t="shared" si="36"/>
        <v>138.33074242738607</v>
      </c>
      <c r="AL20" s="4">
        <f t="shared" si="36"/>
        <v>140.24853800033767</v>
      </c>
      <c r="AM20" s="4">
        <f t="shared" si="36"/>
        <v>142.16633357328928</v>
      </c>
      <c r="AN20" s="4">
        <f t="shared" si="36"/>
        <v>144.08412914624085</v>
      </c>
      <c r="AO20" s="4">
        <f t="shared" si="36"/>
        <v>146.00192471919246</v>
      </c>
      <c r="AP20" s="4">
        <f t="shared" si="36"/>
        <v>147.91972029214406</v>
      </c>
      <c r="AQ20" s="4">
        <f t="shared" si="36"/>
        <v>149.83751586509564</v>
      </c>
      <c r="AR20" s="4">
        <f t="shared" si="36"/>
        <v>151.75531143804724</v>
      </c>
      <c r="AS20" s="4">
        <f t="shared" si="36"/>
        <v>153.67310701099885</v>
      </c>
      <c r="AT20" s="4">
        <f t="shared" si="36"/>
        <v>155.59090258395045</v>
      </c>
      <c r="AU20" s="4">
        <f t="shared" si="36"/>
        <v>157.50869815690203</v>
      </c>
    </row>
    <row r="21" spans="1:47" x14ac:dyDescent="0.35">
      <c r="A21" s="5" t="s">
        <v>22</v>
      </c>
      <c r="B21" s="11">
        <f>B20*(1/B11-1)</f>
        <v>56.032666666666664</v>
      </c>
      <c r="C21" s="4">
        <f>$B21*(1+$B$12)^(C15-$B15)</f>
        <v>56.592993333333332</v>
      </c>
      <c r="D21" s="4">
        <f t="shared" ref="D21:AF21" si="37">$B21*(1+$B$12)^(D15-$B15)</f>
        <v>57.158923266666662</v>
      </c>
      <c r="E21" s="4">
        <f t="shared" si="37"/>
        <v>57.730512499333322</v>
      </c>
      <c r="F21" s="4">
        <f t="shared" si="37"/>
        <v>58.307817624326667</v>
      </c>
      <c r="G21" s="4">
        <f t="shared" si="37"/>
        <v>58.890895800569929</v>
      </c>
      <c r="H21" s="4">
        <f t="shared" si="37"/>
        <v>59.479804758575639</v>
      </c>
      <c r="I21" s="4">
        <f t="shared" si="37"/>
        <v>60.07460280616138</v>
      </c>
      <c r="J21" s="4">
        <f t="shared" si="37"/>
        <v>60.675348834223009</v>
      </c>
      <c r="K21" s="4">
        <f t="shared" si="37"/>
        <v>61.282102322565244</v>
      </c>
      <c r="L21" s="4">
        <f t="shared" si="37"/>
        <v>61.894923345790893</v>
      </c>
      <c r="M21" s="4">
        <f t="shared" si="37"/>
        <v>62.51387257924879</v>
      </c>
      <c r="N21" s="4">
        <f t="shared" si="37"/>
        <v>63.139011305041279</v>
      </c>
      <c r="O21" s="4">
        <f t="shared" si="37"/>
        <v>63.770401418091694</v>
      </c>
      <c r="P21" s="4">
        <f t="shared" si="37"/>
        <v>64.40810543227262</v>
      </c>
      <c r="Q21" s="4">
        <f t="shared" si="37"/>
        <v>65.052186486595332</v>
      </c>
      <c r="R21" s="4">
        <f t="shared" si="37"/>
        <v>65.702708351461297</v>
      </c>
      <c r="S21" s="4">
        <f t="shared" si="37"/>
        <v>66.359735434975917</v>
      </c>
      <c r="T21" s="4">
        <f t="shared" si="37"/>
        <v>67.023332789325679</v>
      </c>
      <c r="U21" s="4">
        <f t="shared" si="37"/>
        <v>67.693566117218921</v>
      </c>
      <c r="V21" s="4">
        <f t="shared" si="37"/>
        <v>68.370501778391116</v>
      </c>
      <c r="W21" s="4">
        <f t="shared" si="37"/>
        <v>69.054206796175023</v>
      </c>
      <c r="X21" s="4">
        <f t="shared" si="37"/>
        <v>69.744748864136795</v>
      </c>
      <c r="Y21" s="4">
        <f t="shared" si="37"/>
        <v>70.44219635277814</v>
      </c>
      <c r="Z21" s="4">
        <f t="shared" si="37"/>
        <v>71.146618316305947</v>
      </c>
      <c r="AA21" s="4">
        <f t="shared" si="37"/>
        <v>71.858084499469015</v>
      </c>
      <c r="AB21" s="4">
        <f t="shared" si="37"/>
        <v>72.576665344463706</v>
      </c>
      <c r="AC21" s="4">
        <f t="shared" si="37"/>
        <v>73.302431997908315</v>
      </c>
      <c r="AD21" s="4">
        <f t="shared" si="37"/>
        <v>74.035456317887395</v>
      </c>
      <c r="AE21" s="4">
        <f t="shared" si="37"/>
        <v>74.775810881066278</v>
      </c>
      <c r="AF21" s="4">
        <f t="shared" si="37"/>
        <v>75.523568989876964</v>
      </c>
      <c r="AG21" s="4">
        <f t="shared" ref="AG21:AU21" si="38">$B21*(1+$B$12)^(AG15-$B15)</f>
        <v>76.278804679775703</v>
      </c>
      <c r="AH21" s="4">
        <f t="shared" si="38"/>
        <v>77.041592726573484</v>
      </c>
      <c r="AI21" s="4">
        <f t="shared" si="38"/>
        <v>77.812008653839214</v>
      </c>
      <c r="AJ21" s="4">
        <f t="shared" si="38"/>
        <v>78.590128740377608</v>
      </c>
      <c r="AK21" s="4">
        <f t="shared" si="38"/>
        <v>79.376030027781368</v>
      </c>
      <c r="AL21" s="4">
        <f t="shared" si="38"/>
        <v>80.169790328059193</v>
      </c>
      <c r="AM21" s="4">
        <f t="shared" si="38"/>
        <v>80.971488231339791</v>
      </c>
      <c r="AN21" s="4">
        <f t="shared" si="38"/>
        <v>81.781203113653191</v>
      </c>
      <c r="AO21" s="4">
        <f t="shared" si="38"/>
        <v>82.599015144789703</v>
      </c>
      <c r="AP21" s="4">
        <f t="shared" si="38"/>
        <v>83.425005296237615</v>
      </c>
      <c r="AQ21" s="4">
        <f t="shared" si="38"/>
        <v>84.259255349200004</v>
      </c>
      <c r="AR21" s="4">
        <f t="shared" si="38"/>
        <v>85.101847902692015</v>
      </c>
      <c r="AS21" s="4">
        <f t="shared" si="38"/>
        <v>85.952866381718906</v>
      </c>
      <c r="AT21" s="4">
        <f t="shared" si="38"/>
        <v>86.812395045536107</v>
      </c>
      <c r="AU21" s="4">
        <f t="shared" si="38"/>
        <v>87.680518995991463</v>
      </c>
    </row>
    <row r="22" spans="1:47" x14ac:dyDescent="0.35">
      <c r="A22" s="5" t="s">
        <v>23</v>
      </c>
      <c r="B22" s="4">
        <f>B20+B21</f>
        <v>112.06533333333333</v>
      </c>
      <c r="C22" s="4">
        <f t="shared" ref="C22:AF22" si="39">C20+C21</f>
        <v>113.7473107936508</v>
      </c>
      <c r="D22" s="4">
        <f t="shared" si="39"/>
        <v>115.64547126364323</v>
      </c>
      <c r="E22" s="4">
        <f t="shared" si="39"/>
        <v>117.64685697257235</v>
      </c>
      <c r="F22" s="4">
        <f t="shared" si="39"/>
        <v>119.86101103867907</v>
      </c>
      <c r="G22" s="4">
        <f t="shared" si="39"/>
        <v>123.22234651458061</v>
      </c>
      <c r="H22" s="4">
        <f t="shared" si="39"/>
        <v>127.67326855082415</v>
      </c>
      <c r="I22" s="4">
        <f t="shared" si="39"/>
        <v>132.3392698414516</v>
      </c>
      <c r="J22" s="4">
        <f t="shared" si="39"/>
        <v>136.91428570200631</v>
      </c>
      <c r="K22" s="4">
        <f t="shared" si="39"/>
        <v>141.40068355063943</v>
      </c>
      <c r="L22" s="4">
        <f t="shared" si="39"/>
        <v>145.80077644938712</v>
      </c>
      <c r="M22" s="4">
        <f t="shared" si="39"/>
        <v>148.98552125579658</v>
      </c>
      <c r="N22" s="4">
        <f t="shared" si="39"/>
        <v>152.17645555454067</v>
      </c>
      <c r="O22" s="4">
        <f t="shared" si="39"/>
        <v>155.37364124054267</v>
      </c>
      <c r="P22" s="4">
        <f t="shared" si="39"/>
        <v>158.57714082767521</v>
      </c>
      <c r="Q22" s="4">
        <f t="shared" si="39"/>
        <v>161.78701745494953</v>
      </c>
      <c r="R22" s="4">
        <f t="shared" si="39"/>
        <v>165.00333489276707</v>
      </c>
      <c r="S22" s="4">
        <f t="shared" si="39"/>
        <v>168.22615754923328</v>
      </c>
      <c r="T22" s="4">
        <f t="shared" si="39"/>
        <v>171.45555047653465</v>
      </c>
      <c r="U22" s="4">
        <f t="shared" si="39"/>
        <v>174.69157937737947</v>
      </c>
      <c r="V22" s="4">
        <f t="shared" si="39"/>
        <v>177.93431061150329</v>
      </c>
      <c r="W22" s="4">
        <f t="shared" si="39"/>
        <v>180.53581120223879</v>
      </c>
      <c r="X22" s="4">
        <f t="shared" si="39"/>
        <v>183.14414884315215</v>
      </c>
      <c r="Y22" s="4">
        <f t="shared" si="39"/>
        <v>185.75939190474509</v>
      </c>
      <c r="Z22" s="4">
        <f t="shared" si="39"/>
        <v>188.3816094412245</v>
      </c>
      <c r="AA22" s="4">
        <f t="shared" si="39"/>
        <v>191.01087119733916</v>
      </c>
      <c r="AB22" s="4">
        <f t="shared" si="39"/>
        <v>193.64724761528544</v>
      </c>
      <c r="AC22" s="4">
        <f t="shared" si="39"/>
        <v>196.29080984168164</v>
      </c>
      <c r="AD22" s="4">
        <f t="shared" si="39"/>
        <v>198.94162973461232</v>
      </c>
      <c r="AE22" s="4">
        <f t="shared" si="39"/>
        <v>201.59977987074279</v>
      </c>
      <c r="AF22" s="4">
        <f t="shared" si="39"/>
        <v>204.26533355250507</v>
      </c>
      <c r="AG22" s="4">
        <f t="shared" ref="AG22:AU22" si="40">AG20+AG21</f>
        <v>206.93836481535541</v>
      </c>
      <c r="AH22" s="4">
        <f t="shared" si="40"/>
        <v>209.61894843510481</v>
      </c>
      <c r="AI22" s="4">
        <f t="shared" si="40"/>
        <v>212.30715993532209</v>
      </c>
      <c r="AJ22" s="4">
        <f t="shared" si="40"/>
        <v>215.00307559481212</v>
      </c>
      <c r="AK22" s="4">
        <f t="shared" si="40"/>
        <v>217.70677245516742</v>
      </c>
      <c r="AL22" s="4">
        <f t="shared" si="40"/>
        <v>220.41832832839685</v>
      </c>
      <c r="AM22" s="4">
        <f t="shared" si="40"/>
        <v>223.13782180462908</v>
      </c>
      <c r="AN22" s="4">
        <f t="shared" si="40"/>
        <v>225.86533225989405</v>
      </c>
      <c r="AO22" s="4">
        <f t="shared" si="40"/>
        <v>228.60093986398215</v>
      </c>
      <c r="AP22" s="4">
        <f t="shared" si="40"/>
        <v>231.34472558838166</v>
      </c>
      <c r="AQ22" s="4">
        <f t="shared" si="40"/>
        <v>234.09677121429564</v>
      </c>
      <c r="AR22" s="4">
        <f t="shared" si="40"/>
        <v>236.85715934073926</v>
      </c>
      <c r="AS22" s="4">
        <f t="shared" si="40"/>
        <v>239.62597339271775</v>
      </c>
      <c r="AT22" s="4">
        <f t="shared" si="40"/>
        <v>242.40329762948656</v>
      </c>
      <c r="AU22" s="4">
        <f t="shared" si="40"/>
        <v>245.18921715289349</v>
      </c>
    </row>
    <row r="23" spans="1:47" x14ac:dyDescent="0.35">
      <c r="A23" s="8" t="s">
        <v>24</v>
      </c>
      <c r="B23" s="9">
        <f>B22/$B22</f>
        <v>1</v>
      </c>
      <c r="C23" s="9">
        <f t="shared" ref="C23:AF23" si="41">C22/$B22</f>
        <v>1.0150089007036145</v>
      </c>
      <c r="D23" s="9">
        <f t="shared" si="41"/>
        <v>1.0319468815540034</v>
      </c>
      <c r="E23" s="9">
        <f t="shared" si="41"/>
        <v>1.0498059790054524</v>
      </c>
      <c r="F23" s="9">
        <f t="shared" si="41"/>
        <v>1.0695636864092293</v>
      </c>
      <c r="G23" s="9">
        <f t="shared" si="41"/>
        <v>1.0995581135520407</v>
      </c>
      <c r="H23" s="9">
        <f t="shared" si="41"/>
        <v>1.1392753205049211</v>
      </c>
      <c r="I23" s="9">
        <f t="shared" si="41"/>
        <v>1.1809117583919939</v>
      </c>
      <c r="J23" s="9">
        <f t="shared" si="41"/>
        <v>1.2217362999738812</v>
      </c>
      <c r="K23" s="9">
        <f t="shared" si="41"/>
        <v>1.2617700705895321</v>
      </c>
      <c r="L23" s="9">
        <f t="shared" si="41"/>
        <v>1.3010337105383805</v>
      </c>
      <c r="M23" s="9">
        <f t="shared" si="41"/>
        <v>1.329452354481879</v>
      </c>
      <c r="N23" s="9">
        <f t="shared" si="41"/>
        <v>1.3579262295316483</v>
      </c>
      <c r="O23" s="9">
        <f t="shared" si="41"/>
        <v>1.3864558879987507</v>
      </c>
      <c r="P23" s="9">
        <f t="shared" si="41"/>
        <v>1.4150418877173603</v>
      </c>
      <c r="Q23" s="9">
        <f t="shared" si="41"/>
        <v>1.4436847920999911</v>
      </c>
      <c r="R23" s="9">
        <f t="shared" si="41"/>
        <v>1.4723851701932837</v>
      </c>
      <c r="S23" s="9">
        <f t="shared" si="41"/>
        <v>1.5011435967343449</v>
      </c>
      <c r="T23" s="9">
        <f t="shared" si="41"/>
        <v>1.5299606522076525</v>
      </c>
      <c r="U23" s="9">
        <f t="shared" si="41"/>
        <v>1.5588369229025283</v>
      </c>
      <c r="V23" s="9">
        <f t="shared" si="41"/>
        <v>1.5877730009711892</v>
      </c>
      <c r="W23" s="9">
        <f t="shared" si="41"/>
        <v>1.6109871432340552</v>
      </c>
      <c r="X23" s="9">
        <f t="shared" si="41"/>
        <v>1.6342622949989187</v>
      </c>
      <c r="Y23" s="9">
        <f t="shared" si="41"/>
        <v>1.6575990663607993</v>
      </c>
      <c r="Z23" s="9">
        <f t="shared" si="41"/>
        <v>1.680998073515668</v>
      </c>
      <c r="AA23" s="9">
        <f t="shared" si="41"/>
        <v>1.7044599388214539</v>
      </c>
      <c r="AB23" s="9">
        <f t="shared" si="41"/>
        <v>1.7279852908596662</v>
      </c>
      <c r="AC23" s="9">
        <f t="shared" si="41"/>
        <v>1.7515747644976292</v>
      </c>
      <c r="AD23" s="9">
        <f t="shared" si="41"/>
        <v>1.775229000951341</v>
      </c>
      <c r="AE23" s="9">
        <f t="shared" si="41"/>
        <v>1.7989486478489585</v>
      </c>
      <c r="AF23" s="9">
        <f t="shared" si="41"/>
        <v>1.822734359294921</v>
      </c>
      <c r="AG23" s="9">
        <f t="shared" ref="AG23:AU23" si="42">AG22/$B22</f>
        <v>1.8465867959347115</v>
      </c>
      <c r="AH23" s="9">
        <f t="shared" si="42"/>
        <v>1.8705066250202693</v>
      </c>
      <c r="AI23" s="9">
        <f t="shared" si="42"/>
        <v>1.8944945204760506</v>
      </c>
      <c r="AJ23" s="9">
        <f t="shared" si="42"/>
        <v>1.9185511629657592</v>
      </c>
      <c r="AK23" s="9">
        <f t="shared" si="42"/>
        <v>1.9426772399597327</v>
      </c>
      <c r="AL23" s="9">
        <f t="shared" si="42"/>
        <v>1.9668734458030155</v>
      </c>
      <c r="AM23" s="9">
        <f t="shared" si="42"/>
        <v>1.9911404817841001</v>
      </c>
      <c r="AN23" s="9">
        <f t="shared" si="42"/>
        <v>2.0154790562043634</v>
      </c>
      <c r="AO23" s="9">
        <f t="shared" si="42"/>
        <v>2.0398898844481983</v>
      </c>
      <c r="AP23" s="9">
        <f t="shared" si="42"/>
        <v>2.0643736890538409</v>
      </c>
      <c r="AQ23" s="9">
        <f t="shared" si="42"/>
        <v>2.0889311997849083</v>
      </c>
      <c r="AR23" s="9">
        <f t="shared" si="42"/>
        <v>2.1135631537026551</v>
      </c>
      <c r="AS23" s="9">
        <f t="shared" si="42"/>
        <v>2.1382702952389478</v>
      </c>
      <c r="AT23" s="9">
        <f t="shared" si="42"/>
        <v>2.1630533762699726</v>
      </c>
      <c r="AU23" s="9">
        <f t="shared" si="42"/>
        <v>2.1879131561906759</v>
      </c>
    </row>
    <row r="24" spans="1:47" x14ac:dyDescent="0.35">
      <c r="B24" s="12">
        <f>B20/B22</f>
        <v>0.5</v>
      </c>
      <c r="C24" s="12">
        <f t="shared" ref="C24:AF24" si="43">C20/C22</f>
        <v>0.50246741713306264</v>
      </c>
      <c r="D24" s="12">
        <f t="shared" si="43"/>
        <v>0.50574006364366508</v>
      </c>
      <c r="E24" s="12">
        <f t="shared" si="43"/>
        <v>0.50928980182792016</v>
      </c>
      <c r="F24" s="12">
        <f t="shared" si="43"/>
        <v>0.51353807948849373</v>
      </c>
      <c r="G24" s="12">
        <f t="shared" si="43"/>
        <v>0.52207616989665495</v>
      </c>
      <c r="H24" s="12">
        <f t="shared" si="43"/>
        <v>0.53412483729984617</v>
      </c>
      <c r="I24" s="12">
        <f t="shared" si="43"/>
        <v>0.54605611109889407</v>
      </c>
      <c r="J24" s="12">
        <f t="shared" si="43"/>
        <v>0.55683697633800755</v>
      </c>
      <c r="K24" s="12">
        <f t="shared" si="43"/>
        <v>0.566606746277726</v>
      </c>
      <c r="L24" s="12">
        <f t="shared" si="43"/>
        <v>0.57548289622945226</v>
      </c>
      <c r="M24" s="12">
        <f t="shared" si="43"/>
        <v>0.58040303478941879</v>
      </c>
      <c r="N24" s="12">
        <f t="shared" si="43"/>
        <v>0.58509342936817199</v>
      </c>
      <c r="O24" s="12">
        <f t="shared" si="43"/>
        <v>0.58956743943868095</v>
      </c>
      <c r="P24" s="12">
        <f t="shared" si="43"/>
        <v>0.59383738982742473</v>
      </c>
      <c r="Q24" s="12">
        <f t="shared" si="43"/>
        <v>0.59791466886575451</v>
      </c>
      <c r="R24" s="12">
        <f t="shared" si="43"/>
        <v>0.6018098155763919</v>
      </c>
      <c r="S24" s="12">
        <f t="shared" si="43"/>
        <v>0.60553259729804521</v>
      </c>
      <c r="T24" s="12">
        <f t="shared" si="43"/>
        <v>0.6090920789496489</v>
      </c>
      <c r="U24" s="12">
        <f t="shared" si="43"/>
        <v>0.61249668496623344</v>
      </c>
      <c r="V24" s="12">
        <f t="shared" si="43"/>
        <v>0.61575425479535906</v>
      </c>
      <c r="W24" s="12">
        <f t="shared" si="43"/>
        <v>0.61750410438614012</v>
      </c>
      <c r="X24" s="12">
        <f t="shared" si="43"/>
        <v>0.61918112424182636</v>
      </c>
      <c r="Y24" s="12">
        <f t="shared" si="43"/>
        <v>0.6207879686164135</v>
      </c>
      <c r="Z24" s="12">
        <f t="shared" si="43"/>
        <v>0.62232715535587424</v>
      </c>
      <c r="AA24" s="12">
        <f t="shared" si="43"/>
        <v>0.6238010745198358</v>
      </c>
      <c r="AB24" s="12">
        <f t="shared" si="43"/>
        <v>0.62521199635819191</v>
      </c>
      <c r="AC24" s="12">
        <f t="shared" si="43"/>
        <v>0.6265620786982824</v>
      </c>
      <c r="AD24" s="12">
        <f t="shared" si="43"/>
        <v>0.62785337379285311</v>
      </c>
      <c r="AE24" s="12">
        <f t="shared" si="43"/>
        <v>0.62908783467417795</v>
      </c>
      <c r="AF24" s="12">
        <f t="shared" si="43"/>
        <v>0.63026732105541483</v>
      </c>
      <c r="AG24" s="12">
        <f t="shared" ref="AG24:AU24" si="44">AG20/AG22</f>
        <v>0.63139360481640572</v>
      </c>
      <c r="AH24" s="12">
        <f t="shared" si="44"/>
        <v>0.63246837510768006</v>
      </c>
      <c r="AI24" s="12">
        <f t="shared" si="44"/>
        <v>0.63349324310332211</v>
      </c>
      <c r="AJ24" s="12">
        <f t="shared" si="44"/>
        <v>0.63446974643057641</v>
      </c>
      <c r="AK24" s="12">
        <f t="shared" si="44"/>
        <v>0.63539935330157293</v>
      </c>
      <c r="AL24" s="12">
        <f t="shared" si="44"/>
        <v>0.63628346637029287</v>
      </c>
      <c r="AM24" s="12">
        <f t="shared" si="44"/>
        <v>0.63712342633587538</v>
      </c>
      <c r="AN24" s="12">
        <f t="shared" si="44"/>
        <v>0.63792051531152694</v>
      </c>
      <c r="AO24" s="12">
        <f t="shared" si="44"/>
        <v>0.63867595997664661</v>
      </c>
      <c r="AP24" s="12">
        <f t="shared" si="44"/>
        <v>0.639390934528281</v>
      </c>
      <c r="AQ24" s="12">
        <f t="shared" si="44"/>
        <v>0.64006656344667034</v>
      </c>
      <c r="AR24" s="12">
        <f t="shared" si="44"/>
        <v>0.64070392408841759</v>
      </c>
      <c r="AS24" s="12">
        <f t="shared" si="44"/>
        <v>0.64130404911969774</v>
      </c>
      <c r="AT24" s="12">
        <f t="shared" si="44"/>
        <v>0.6418679288009157</v>
      </c>
      <c r="AU24" s="12">
        <f t="shared" si="44"/>
        <v>0.64239651313329893</v>
      </c>
    </row>
    <row r="27" spans="1:47" x14ac:dyDescent="0.35">
      <c r="A27" s="16" t="s">
        <v>25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3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35">
      <c r="A29" s="1" t="s">
        <v>26</v>
      </c>
      <c r="B29" s="11">
        <v>53</v>
      </c>
      <c r="C29" s="12" t="s">
        <v>27</v>
      </c>
      <c r="D29" s="12"/>
      <c r="E29" s="12" t="s">
        <v>28</v>
      </c>
      <c r="F29" s="11">
        <v>2589.5652110000001</v>
      </c>
      <c r="G29" s="11">
        <v>3721.7576190538766</v>
      </c>
      <c r="H29" s="11">
        <v>4188.0027595155916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35">
      <c r="A30" s="1" t="s">
        <v>29</v>
      </c>
      <c r="B30" s="2">
        <v>2590</v>
      </c>
      <c r="C30" t="s">
        <v>28</v>
      </c>
      <c r="E30" t="s">
        <v>30</v>
      </c>
      <c r="F30" s="11">
        <f>F29*$B$31</f>
        <v>2071.6521688000003</v>
      </c>
      <c r="G30" s="11">
        <f t="shared" ref="G30:I30" si="45">G29*$B$31</f>
        <v>2977.4060952431014</v>
      </c>
      <c r="H30" s="11">
        <f t="shared" si="45"/>
        <v>3350.4022076124734</v>
      </c>
      <c r="I30" s="11">
        <f t="shared" si="45"/>
        <v>3703.9551673397505</v>
      </c>
    </row>
    <row r="31" spans="1:47" x14ac:dyDescent="0.35">
      <c r="A31" s="1" t="s">
        <v>31</v>
      </c>
      <c r="B31" s="2">
        <v>0.8</v>
      </c>
      <c r="E31" t="s">
        <v>32</v>
      </c>
      <c r="F31" s="21">
        <f>F30/$F30</f>
        <v>1</v>
      </c>
      <c r="G31" s="21">
        <f t="shared" ref="G31:I31" si="46">G30/$F30</f>
        <v>1.4372133218520737</v>
      </c>
      <c r="H31" s="21">
        <f t="shared" si="46"/>
        <v>1.6172609755976488</v>
      </c>
      <c r="I31" s="21">
        <f t="shared" si="46"/>
        <v>1.7879232928784845</v>
      </c>
    </row>
    <row r="32" spans="1:47" x14ac:dyDescent="0.35">
      <c r="A32" s="1" t="s">
        <v>33</v>
      </c>
      <c r="B32" s="14">
        <f>B30*B31*10^6*B29*10^-9</f>
        <v>109.816</v>
      </c>
      <c r="C32" t="s">
        <v>34</v>
      </c>
      <c r="E32" s="12" t="s">
        <v>35</v>
      </c>
      <c r="F32" s="13">
        <f>B23</f>
        <v>1</v>
      </c>
      <c r="G32" s="13">
        <f>L23</f>
        <v>1.3010337105383805</v>
      </c>
      <c r="H32" s="13">
        <f>V23</f>
        <v>1.5877730009711892</v>
      </c>
      <c r="I32" s="13">
        <f>AF23</f>
        <v>1.822734359294921</v>
      </c>
    </row>
    <row r="33" spans="1:9" x14ac:dyDescent="0.35">
      <c r="A33" s="19" t="s">
        <v>36</v>
      </c>
      <c r="B33" s="20">
        <f>(B32-B22)/B32</f>
        <v>-2.0482746897841166E-2</v>
      </c>
      <c r="E33" t="s">
        <v>37</v>
      </c>
      <c r="F33" s="14">
        <f>B32</f>
        <v>109.816</v>
      </c>
      <c r="G33" s="14">
        <f>$F33*G32</f>
        <v>142.8743179564828</v>
      </c>
      <c r="H33" s="14">
        <f>$F33*H32</f>
        <v>174.36287987465212</v>
      </c>
      <c r="I33" s="14">
        <f>$F33*I32</f>
        <v>200.16539640033105</v>
      </c>
    </row>
    <row r="34" spans="1:9" x14ac:dyDescent="0.35">
      <c r="E34" t="s">
        <v>38</v>
      </c>
      <c r="F34" s="14">
        <f>F33*1000/F30</f>
        <v>53.008898720488716</v>
      </c>
      <c r="G34" s="14">
        <f>G33*1000/G30</f>
        <v>47.986170977733984</v>
      </c>
      <c r="H34" s="14">
        <f>H33*1000/H30</f>
        <v>52.042372548131972</v>
      </c>
      <c r="I34" s="14">
        <f>I33*1000/I30</f>
        <v>54.040987905394537</v>
      </c>
    </row>
    <row r="36" spans="1:9" x14ac:dyDescent="0.35">
      <c r="A36" t="s">
        <v>39</v>
      </c>
      <c r="B36" t="s">
        <v>40</v>
      </c>
      <c r="C36" t="s">
        <v>10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35">
      <c r="A37" t="s">
        <v>41</v>
      </c>
      <c r="B37">
        <v>80</v>
      </c>
      <c r="C37">
        <v>80</v>
      </c>
    </row>
    <row r="39" spans="1:9" x14ac:dyDescent="0.35">
      <c r="A39" t="s">
        <v>42</v>
      </c>
      <c r="B39">
        <v>66</v>
      </c>
      <c r="C39">
        <v>2022</v>
      </c>
      <c r="I39">
        <f>32*3.3</f>
        <v>105.6</v>
      </c>
    </row>
    <row r="40" spans="1:9" x14ac:dyDescent="0.35">
      <c r="I40">
        <f>129+105</f>
        <v>234</v>
      </c>
    </row>
    <row r="41" spans="1:9" x14ac:dyDescent="0.35">
      <c r="B41" s="18"/>
      <c r="I41">
        <f>I40/3.7</f>
        <v>63.243243243243242</v>
      </c>
    </row>
    <row r="45" spans="1:9" x14ac:dyDescent="0.35">
      <c r="F45">
        <v>1.82</v>
      </c>
    </row>
    <row r="46" spans="1:9" x14ac:dyDescent="0.35">
      <c r="F46">
        <f>4630/2590</f>
        <v>1.7876447876447876</v>
      </c>
    </row>
    <row r="47" spans="1:9" x14ac:dyDescent="0.35">
      <c r="F47">
        <f>1.82/1.7876</f>
        <v>1.018124860147684</v>
      </c>
    </row>
    <row r="48" spans="1:9" x14ac:dyDescent="0.35">
      <c r="F48">
        <f>54/53</f>
        <v>1.0188679245283019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E7C3-6018-4FBD-B158-760869B415D1}">
  <dimension ref="A1:AU48"/>
  <sheetViews>
    <sheetView topLeftCell="A3" zoomScale="70" zoomScaleNormal="70" workbookViewId="0">
      <selection activeCell="AF23" sqref="AF23"/>
    </sheetView>
  </sheetViews>
  <sheetFormatPr defaultRowHeight="14.5" x14ac:dyDescent="0.35"/>
  <cols>
    <col min="1" max="1" width="39.1796875" customWidth="1"/>
    <col min="2" max="2" width="11.81640625" bestFit="1" customWidth="1"/>
  </cols>
  <sheetData>
    <row r="1" spans="1:47" x14ac:dyDescent="0.35">
      <c r="B1" s="2" t="s">
        <v>0</v>
      </c>
    </row>
    <row r="2" spans="1:47" x14ac:dyDescent="0.35">
      <c r="B2" s="3" t="s">
        <v>1</v>
      </c>
    </row>
    <row r="4" spans="1:47" x14ac:dyDescent="0.35">
      <c r="A4" s="16" t="s">
        <v>2</v>
      </c>
      <c r="B4" s="16"/>
      <c r="C4" s="16"/>
      <c r="D4" s="16"/>
      <c r="E4" s="16"/>
      <c r="F4" s="16"/>
      <c r="G4" s="16"/>
      <c r="H4" s="16"/>
      <c r="I4" s="16"/>
    </row>
    <row r="6" spans="1:47" x14ac:dyDescent="0.35">
      <c r="A6" t="s">
        <v>3</v>
      </c>
      <c r="B6" t="s">
        <v>4</v>
      </c>
    </row>
    <row r="8" spans="1:47" x14ac:dyDescent="0.35">
      <c r="A8" s="1" t="s">
        <v>5</v>
      </c>
      <c r="B8" s="6">
        <v>5.3999999999999999E-2</v>
      </c>
    </row>
    <row r="9" spans="1:47" x14ac:dyDescent="0.35">
      <c r="A9" s="1" t="s">
        <v>6</v>
      </c>
      <c r="B9" s="2">
        <v>42</v>
      </c>
      <c r="E9" t="s">
        <v>7</v>
      </c>
    </row>
    <row r="10" spans="1:47" x14ac:dyDescent="0.35">
      <c r="A10" s="1" t="s">
        <v>8</v>
      </c>
      <c r="B10" s="7">
        <f>1/B9</f>
        <v>2.3809523809523808E-2</v>
      </c>
      <c r="E10" t="s">
        <v>9</v>
      </c>
      <c r="F10" t="s">
        <v>10</v>
      </c>
      <c r="G10" t="s">
        <v>11</v>
      </c>
      <c r="H10" t="s">
        <v>12</v>
      </c>
    </row>
    <row r="11" spans="1:47" x14ac:dyDescent="0.35">
      <c r="A11" s="1" t="s">
        <v>13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35">
      <c r="A12" s="1" t="s">
        <v>14</v>
      </c>
      <c r="B12" s="10">
        <v>0.01</v>
      </c>
    </row>
    <row r="13" spans="1:47" x14ac:dyDescent="0.35">
      <c r="A13" s="1" t="s">
        <v>15</v>
      </c>
      <c r="B13" s="2">
        <v>700</v>
      </c>
      <c r="C13" t="s">
        <v>16</v>
      </c>
    </row>
    <row r="15" spans="1:47" x14ac:dyDescent="0.35">
      <c r="A15" s="5" t="s">
        <v>16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>
        <v>2041</v>
      </c>
      <c r="X15" s="5">
        <v>2042</v>
      </c>
      <c r="Y15" s="5">
        <v>2043</v>
      </c>
      <c r="Z15" s="5">
        <v>2044</v>
      </c>
      <c r="AA15" s="5">
        <v>2045</v>
      </c>
      <c r="AB15" s="5">
        <v>2046</v>
      </c>
      <c r="AC15" s="5">
        <v>2047</v>
      </c>
      <c r="AD15" s="5">
        <v>2048</v>
      </c>
      <c r="AE15" s="5">
        <v>2049</v>
      </c>
      <c r="AF15" s="5">
        <v>2050</v>
      </c>
      <c r="AG15" s="5">
        <v>2051</v>
      </c>
      <c r="AH15" s="5">
        <v>2052</v>
      </c>
      <c r="AI15" s="5">
        <v>2053</v>
      </c>
      <c r="AJ15" s="5">
        <v>2054</v>
      </c>
      <c r="AK15" s="5">
        <v>2055</v>
      </c>
      <c r="AL15" s="5">
        <v>2056</v>
      </c>
      <c r="AM15" s="5">
        <v>2057</v>
      </c>
      <c r="AN15" s="5">
        <v>2058</v>
      </c>
      <c r="AO15" s="5">
        <v>2059</v>
      </c>
      <c r="AP15" s="5">
        <v>2060</v>
      </c>
      <c r="AQ15" s="5">
        <v>2061</v>
      </c>
      <c r="AR15" s="5">
        <v>2062</v>
      </c>
      <c r="AS15" s="5">
        <v>2063</v>
      </c>
      <c r="AT15" s="5">
        <v>2064</v>
      </c>
      <c r="AU15" s="5">
        <v>2065</v>
      </c>
    </row>
    <row r="16" spans="1:47" x14ac:dyDescent="0.35">
      <c r="A16" s="5" t="s">
        <v>17</v>
      </c>
      <c r="B16" s="3">
        <f>B13</f>
        <v>700</v>
      </c>
      <c r="C16" s="4">
        <f>B19</f>
        <v>711.64285714285711</v>
      </c>
      <c r="D16" s="4">
        <f>C19</f>
        <v>725.93707482993193</v>
      </c>
      <c r="E16" s="4">
        <f>D19</f>
        <v>742.81952542921931</v>
      </c>
      <c r="F16" s="4">
        <f>E19</f>
        <v>760.27620339519024</v>
      </c>
      <c r="G16" s="4">
        <f t="shared" ref="G16:AU16" si="0">F19</f>
        <v>781.22200807625711</v>
      </c>
      <c r="H16" s="4">
        <f t="shared" si="0"/>
        <v>821.19291264587002</v>
      </c>
      <c r="I16" s="4">
        <f t="shared" si="0"/>
        <v>871.9264147257303</v>
      </c>
      <c r="J16" s="4">
        <f t="shared" si="0"/>
        <v>921.45197627987955</v>
      </c>
      <c r="K16" s="4">
        <f t="shared" si="0"/>
        <v>969.79835779702523</v>
      </c>
      <c r="L16" s="4">
        <f t="shared" si="0"/>
        <v>1016.9936349923343</v>
      </c>
      <c r="M16" s="4">
        <f t="shared" si="0"/>
        <v>1063.0652151115644</v>
      </c>
      <c r="N16" s="4">
        <f t="shared" si="0"/>
        <v>1108.0398528470034</v>
      </c>
      <c r="O16" s="4">
        <f t="shared" si="0"/>
        <v>1151.9436658744557</v>
      </c>
      <c r="P16" s="4">
        <f t="shared" si="0"/>
        <v>1194.802150020302</v>
      </c>
      <c r="Q16" s="4">
        <f t="shared" si="0"/>
        <v>1236.6401940674377</v>
      </c>
      <c r="R16" s="4">
        <f t="shared" si="0"/>
        <v>1277.4820942086892</v>
      </c>
      <c r="S16" s="4">
        <f t="shared" si="0"/>
        <v>1317.3515681561014</v>
      </c>
      <c r="T16" s="4">
        <f t="shared" si="0"/>
        <v>1356.2717689142894</v>
      </c>
      <c r="U16" s="4">
        <f t="shared" si="0"/>
        <v>1394.2652982258539</v>
      </c>
      <c r="V16" s="4">
        <f t="shared" si="0"/>
        <v>1431.3542196966669</v>
      </c>
      <c r="W16" s="4">
        <f t="shared" si="0"/>
        <v>1467.560071608651</v>
      </c>
      <c r="X16" s="4">
        <f t="shared" si="0"/>
        <v>1491.1895937132069</v>
      </c>
      <c r="Y16" s="4">
        <f t="shared" si="0"/>
        <v>1514.2565081486068</v>
      </c>
      <c r="Z16" s="4">
        <f t="shared" si="0"/>
        <v>1536.7742103355447</v>
      </c>
      <c r="AA16" s="4">
        <f t="shared" si="0"/>
        <v>1558.755776756127</v>
      </c>
      <c r="AB16" s="4">
        <f t="shared" si="0"/>
        <v>1580.2139725476479</v>
      </c>
      <c r="AC16" s="4">
        <f t="shared" si="0"/>
        <v>1601.1612589155611</v>
      </c>
      <c r="AD16" s="4">
        <f t="shared" si="0"/>
        <v>1621.6098003699526</v>
      </c>
      <c r="AE16" s="4">
        <f t="shared" si="0"/>
        <v>1641.5714717897156</v>
      </c>
      <c r="AF16" s="4">
        <f t="shared" si="0"/>
        <v>1661.0578653185319</v>
      </c>
      <c r="AG16" s="4">
        <f t="shared" si="0"/>
        <v>1680.080297096662</v>
      </c>
      <c r="AH16" s="4">
        <f t="shared" si="0"/>
        <v>1698.6498138324557</v>
      </c>
      <c r="AI16" s="4">
        <f t="shared" si="0"/>
        <v>1716.7771992173973</v>
      </c>
      <c r="AJ16" s="4">
        <f t="shared" si="0"/>
        <v>1734.4729801884116</v>
      </c>
      <c r="AK16" s="4">
        <f t="shared" si="0"/>
        <v>1751.7474330410685</v>
      </c>
      <c r="AL16" s="4">
        <f t="shared" si="0"/>
        <v>1768.6105893972335</v>
      </c>
      <c r="AM16" s="4">
        <f t="shared" si="0"/>
        <v>1785.0722420306327</v>
      </c>
      <c r="AN16" s="4">
        <f t="shared" si="0"/>
        <v>1801.1419505537128</v>
      </c>
      <c r="AO16" s="4">
        <f t="shared" si="0"/>
        <v>1816.8290469691005</v>
      </c>
      <c r="AP16" s="4">
        <f t="shared" si="0"/>
        <v>1832.1426410888839</v>
      </c>
      <c r="AQ16" s="4">
        <f t="shared" si="0"/>
        <v>1847.0916258248628</v>
      </c>
      <c r="AR16" s="4">
        <f t="shared" si="0"/>
        <v>1861.6846823528422</v>
      </c>
      <c r="AS16" s="4">
        <f t="shared" si="0"/>
        <v>1875.9302851539651</v>
      </c>
      <c r="AT16" s="4">
        <f t="shared" si="0"/>
        <v>1889.8367069360136</v>
      </c>
      <c r="AU16" s="4">
        <f t="shared" si="0"/>
        <v>1903.4120234375371</v>
      </c>
    </row>
    <row r="17" spans="1:47" x14ac:dyDescent="0.35">
      <c r="A17" s="5" t="s">
        <v>18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72</v>
      </c>
      <c r="I17" s="2">
        <v>72</v>
      </c>
      <c r="J17" s="2">
        <v>72</v>
      </c>
      <c r="K17" s="2">
        <v>72</v>
      </c>
      <c r="L17" s="2">
        <v>72</v>
      </c>
      <c r="M17" s="2">
        <v>72</v>
      </c>
      <c r="N17" s="2">
        <v>72</v>
      </c>
      <c r="O17" s="2">
        <v>72</v>
      </c>
      <c r="P17" s="2">
        <v>72</v>
      </c>
      <c r="Q17" s="2">
        <v>72</v>
      </c>
      <c r="R17" s="2">
        <v>72</v>
      </c>
      <c r="S17" s="2">
        <v>72</v>
      </c>
      <c r="T17" s="2">
        <v>72</v>
      </c>
      <c r="U17" s="2">
        <v>72</v>
      </c>
      <c r="V17" s="2">
        <v>72</v>
      </c>
      <c r="W17" s="2">
        <v>60</v>
      </c>
      <c r="X17" s="2">
        <v>60</v>
      </c>
      <c r="Y17" s="2">
        <v>60</v>
      </c>
      <c r="Z17" s="2">
        <v>60</v>
      </c>
      <c r="AA17" s="2">
        <v>60</v>
      </c>
      <c r="AB17" s="2">
        <v>60</v>
      </c>
      <c r="AC17" s="2">
        <v>60</v>
      </c>
      <c r="AD17" s="2">
        <v>60</v>
      </c>
      <c r="AE17" s="2">
        <v>60</v>
      </c>
      <c r="AF17" s="2">
        <v>60</v>
      </c>
      <c r="AG17" s="2">
        <v>60</v>
      </c>
      <c r="AH17" s="2">
        <v>60</v>
      </c>
      <c r="AI17" s="2">
        <v>60</v>
      </c>
      <c r="AJ17" s="2">
        <v>60</v>
      </c>
      <c r="AK17" s="2">
        <v>60</v>
      </c>
      <c r="AL17" s="2">
        <v>60</v>
      </c>
      <c r="AM17" s="2">
        <v>60</v>
      </c>
      <c r="AN17" s="2">
        <v>60</v>
      </c>
      <c r="AO17" s="2">
        <v>60</v>
      </c>
      <c r="AP17" s="2">
        <v>60</v>
      </c>
      <c r="AQ17" s="2">
        <v>60</v>
      </c>
      <c r="AR17" s="2">
        <v>60</v>
      </c>
      <c r="AS17" s="2">
        <v>60</v>
      </c>
      <c r="AT17" s="2">
        <v>60</v>
      </c>
      <c r="AU17" s="2">
        <v>60</v>
      </c>
    </row>
    <row r="18" spans="1:47" x14ac:dyDescent="0.35">
      <c r="A18" s="5" t="s">
        <v>19</v>
      </c>
      <c r="B18" s="4">
        <f>((B16+B17)*$B10)</f>
        <v>17.357142857142858</v>
      </c>
      <c r="C18" s="4">
        <f>((C16+C17)*$B10)</f>
        <v>17.705782312925169</v>
      </c>
      <c r="D18" s="4">
        <f t="shared" ref="D18:AU18" si="1">((D16+D17)*$B10)</f>
        <v>18.117549400712665</v>
      </c>
      <c r="E18" s="4">
        <f t="shared" si="1"/>
        <v>18.543322034029032</v>
      </c>
      <c r="F18" s="4">
        <f t="shared" si="1"/>
        <v>19.0541953189331</v>
      </c>
      <c r="G18" s="4">
        <f t="shared" si="1"/>
        <v>20.029095430387073</v>
      </c>
      <c r="H18" s="4">
        <f t="shared" si="1"/>
        <v>21.266497920139763</v>
      </c>
      <c r="I18" s="4">
        <f t="shared" si="1"/>
        <v>22.474438445850719</v>
      </c>
      <c r="J18" s="4">
        <f t="shared" si="1"/>
        <v>23.653618482854274</v>
      </c>
      <c r="K18" s="4">
        <f t="shared" si="1"/>
        <v>24.804722804691078</v>
      </c>
      <c r="L18" s="4">
        <f t="shared" si="1"/>
        <v>25.928419880769859</v>
      </c>
      <c r="M18" s="4">
        <f t="shared" si="1"/>
        <v>27.025362264561057</v>
      </c>
      <c r="N18" s="4">
        <f t="shared" si="1"/>
        <v>28.096186972547699</v>
      </c>
      <c r="O18" s="4">
        <f t="shared" si="1"/>
        <v>29.141515854153706</v>
      </c>
      <c r="P18" s="4">
        <f t="shared" si="1"/>
        <v>30.161955952864332</v>
      </c>
      <c r="Q18" s="4">
        <f t="shared" si="1"/>
        <v>31.158099858748514</v>
      </c>
      <c r="R18" s="4">
        <f t="shared" si="1"/>
        <v>32.13052605258784</v>
      </c>
      <c r="S18" s="4">
        <f t="shared" si="1"/>
        <v>33.079799241811934</v>
      </c>
      <c r="T18" s="4">
        <f t="shared" si="1"/>
        <v>34.006470688435456</v>
      </c>
      <c r="U18" s="4">
        <f t="shared" si="1"/>
        <v>34.911078529186995</v>
      </c>
      <c r="V18" s="4">
        <f t="shared" si="1"/>
        <v>35.794148088015874</v>
      </c>
      <c r="W18" s="4">
        <f t="shared" si="1"/>
        <v>36.370477895444068</v>
      </c>
      <c r="X18" s="4">
        <f t="shared" si="1"/>
        <v>36.933085564600162</v>
      </c>
      <c r="Y18" s="4">
        <f t="shared" si="1"/>
        <v>37.482297813062068</v>
      </c>
      <c r="Z18" s="4">
        <f t="shared" si="1"/>
        <v>38.018433579417731</v>
      </c>
      <c r="AA18" s="4">
        <f t="shared" si="1"/>
        <v>38.541804208479213</v>
      </c>
      <c r="AB18" s="4">
        <f t="shared" si="1"/>
        <v>39.052713632086856</v>
      </c>
      <c r="AC18" s="4">
        <f t="shared" si="1"/>
        <v>39.551458545608597</v>
      </c>
      <c r="AD18" s="4">
        <f t="shared" si="1"/>
        <v>40.038328580236964</v>
      </c>
      <c r="AE18" s="4">
        <f t="shared" si="1"/>
        <v>40.513606471183699</v>
      </c>
      <c r="AF18" s="4">
        <f t="shared" si="1"/>
        <v>40.977568221869802</v>
      </c>
      <c r="AG18" s="4">
        <f t="shared" si="1"/>
        <v>41.430483264206238</v>
      </c>
      <c r="AH18" s="4">
        <f t="shared" si="1"/>
        <v>41.872614615058467</v>
      </c>
      <c r="AI18" s="4">
        <f t="shared" si="1"/>
        <v>42.304219028985649</v>
      </c>
      <c r="AJ18" s="4">
        <f t="shared" si="1"/>
        <v>42.725547147343129</v>
      </c>
      <c r="AK18" s="4">
        <f t="shared" si="1"/>
        <v>43.136843643834958</v>
      </c>
      <c r="AL18" s="4">
        <f t="shared" si="1"/>
        <v>43.538347366600796</v>
      </c>
      <c r="AM18" s="4">
        <f t="shared" si="1"/>
        <v>43.93029147691982</v>
      </c>
      <c r="AN18" s="4">
        <f t="shared" si="1"/>
        <v>44.312903584612208</v>
      </c>
      <c r="AO18" s="4">
        <f t="shared" si="1"/>
        <v>44.686405880216675</v>
      </c>
      <c r="AP18" s="4">
        <f t="shared" si="1"/>
        <v>45.051015264021046</v>
      </c>
      <c r="AQ18" s="4">
        <f t="shared" si="1"/>
        <v>45.406943472020544</v>
      </c>
      <c r="AR18" s="4">
        <f t="shared" si="1"/>
        <v>45.754397198877193</v>
      </c>
      <c r="AS18" s="4">
        <f t="shared" si="1"/>
        <v>46.093578217951546</v>
      </c>
      <c r="AT18" s="4">
        <f t="shared" si="1"/>
        <v>46.424683498476512</v>
      </c>
      <c r="AU18" s="4">
        <f t="shared" si="1"/>
        <v>46.747905319941353</v>
      </c>
    </row>
    <row r="19" spans="1:47" x14ac:dyDescent="0.35">
      <c r="A19" s="5" t="s">
        <v>20</v>
      </c>
      <c r="B19" s="4">
        <f>B16+B17-B18</f>
        <v>711.64285714285711</v>
      </c>
      <c r="C19" s="4">
        <f>C16+C17-C18</f>
        <v>725.93707482993193</v>
      </c>
      <c r="D19" s="4">
        <f>D16+D17-D18</f>
        <v>742.81952542921931</v>
      </c>
      <c r="E19" s="4">
        <f>E16+E17-E18</f>
        <v>760.27620339519024</v>
      </c>
      <c r="F19" s="4">
        <f>F16+F17-F18</f>
        <v>781.22200807625711</v>
      </c>
      <c r="G19" s="4">
        <f t="shared" ref="G19:AU19" si="2">G16+G17-G18</f>
        <v>821.19291264587002</v>
      </c>
      <c r="H19" s="4">
        <f t="shared" si="2"/>
        <v>871.9264147257303</v>
      </c>
      <c r="I19" s="4">
        <f t="shared" si="2"/>
        <v>921.45197627987955</v>
      </c>
      <c r="J19" s="4">
        <f t="shared" si="2"/>
        <v>969.79835779702523</v>
      </c>
      <c r="K19" s="4">
        <f t="shared" si="2"/>
        <v>1016.9936349923343</v>
      </c>
      <c r="L19" s="4">
        <f t="shared" si="2"/>
        <v>1063.0652151115644</v>
      </c>
      <c r="M19" s="4">
        <f t="shared" si="2"/>
        <v>1108.0398528470034</v>
      </c>
      <c r="N19" s="4">
        <f t="shared" si="2"/>
        <v>1151.9436658744557</v>
      </c>
      <c r="O19" s="4">
        <f t="shared" si="2"/>
        <v>1194.802150020302</v>
      </c>
      <c r="P19" s="4">
        <f t="shared" si="2"/>
        <v>1236.6401940674377</v>
      </c>
      <c r="Q19" s="4">
        <f t="shared" si="2"/>
        <v>1277.4820942086892</v>
      </c>
      <c r="R19" s="4">
        <f t="shared" si="2"/>
        <v>1317.3515681561014</v>
      </c>
      <c r="S19" s="4">
        <f t="shared" si="2"/>
        <v>1356.2717689142894</v>
      </c>
      <c r="T19" s="4">
        <f t="shared" si="2"/>
        <v>1394.2652982258539</v>
      </c>
      <c r="U19" s="4">
        <f t="shared" si="2"/>
        <v>1431.3542196966669</v>
      </c>
      <c r="V19" s="4">
        <f t="shared" si="2"/>
        <v>1467.560071608651</v>
      </c>
      <c r="W19" s="4">
        <f t="shared" si="2"/>
        <v>1491.1895937132069</v>
      </c>
      <c r="X19" s="4">
        <f t="shared" si="2"/>
        <v>1514.2565081486068</v>
      </c>
      <c r="Y19" s="4">
        <f t="shared" si="2"/>
        <v>1536.7742103355447</v>
      </c>
      <c r="Z19" s="4">
        <f t="shared" si="2"/>
        <v>1558.755776756127</v>
      </c>
      <c r="AA19" s="4">
        <f t="shared" si="2"/>
        <v>1580.2139725476479</v>
      </c>
      <c r="AB19" s="4">
        <f t="shared" si="2"/>
        <v>1601.1612589155611</v>
      </c>
      <c r="AC19" s="4">
        <f t="shared" si="2"/>
        <v>1621.6098003699526</v>
      </c>
      <c r="AD19" s="4">
        <f t="shared" si="2"/>
        <v>1641.5714717897156</v>
      </c>
      <c r="AE19" s="4">
        <f t="shared" si="2"/>
        <v>1661.0578653185319</v>
      </c>
      <c r="AF19" s="4">
        <f t="shared" si="2"/>
        <v>1680.080297096662</v>
      </c>
      <c r="AG19" s="4">
        <f t="shared" si="2"/>
        <v>1698.6498138324557</v>
      </c>
      <c r="AH19" s="4">
        <f t="shared" si="2"/>
        <v>1716.7771992173973</v>
      </c>
      <c r="AI19" s="4">
        <f t="shared" si="2"/>
        <v>1734.4729801884116</v>
      </c>
      <c r="AJ19" s="4">
        <f t="shared" si="2"/>
        <v>1751.7474330410685</v>
      </c>
      <c r="AK19" s="4">
        <f t="shared" si="2"/>
        <v>1768.6105893972335</v>
      </c>
      <c r="AL19" s="4">
        <f t="shared" si="2"/>
        <v>1785.0722420306327</v>
      </c>
      <c r="AM19" s="4">
        <f t="shared" si="2"/>
        <v>1801.1419505537128</v>
      </c>
      <c r="AN19" s="4">
        <f t="shared" si="2"/>
        <v>1816.8290469691005</v>
      </c>
      <c r="AO19" s="4">
        <f t="shared" si="2"/>
        <v>1832.1426410888839</v>
      </c>
      <c r="AP19" s="4">
        <f t="shared" si="2"/>
        <v>1847.0916258248628</v>
      </c>
      <c r="AQ19" s="4">
        <f t="shared" si="2"/>
        <v>1861.6846823528422</v>
      </c>
      <c r="AR19" s="4">
        <f t="shared" si="2"/>
        <v>1875.9302851539651</v>
      </c>
      <c r="AS19" s="4">
        <f t="shared" si="2"/>
        <v>1889.8367069360136</v>
      </c>
      <c r="AT19" s="4">
        <f t="shared" si="2"/>
        <v>1903.4120234375371</v>
      </c>
      <c r="AU19" s="4">
        <f t="shared" si="2"/>
        <v>1916.6641181175958</v>
      </c>
    </row>
    <row r="20" spans="1:47" x14ac:dyDescent="0.35">
      <c r="A20" s="5" t="s">
        <v>21</v>
      </c>
      <c r="B20" s="4">
        <f>(B16+B17)*$B8+B18</f>
        <v>56.723142857142861</v>
      </c>
      <c r="C20" s="4">
        <f t="shared" ref="C20:AU20" si="3">(C16+C17)*$B8+C18</f>
        <v>57.862496598639453</v>
      </c>
      <c r="D20" s="4">
        <f t="shared" si="3"/>
        <v>59.208151441528983</v>
      </c>
      <c r="E20" s="4">
        <f t="shared" si="3"/>
        <v>60.599576407206875</v>
      </c>
      <c r="F20" s="4">
        <f t="shared" si="3"/>
        <v>62.269110302273376</v>
      </c>
      <c r="G20" s="4">
        <f t="shared" si="3"/>
        <v>65.455083866504964</v>
      </c>
      <c r="H20" s="4">
        <f t="shared" si="3"/>
        <v>69.498915203016736</v>
      </c>
      <c r="I20" s="4">
        <f t="shared" si="3"/>
        <v>73.446464841040154</v>
      </c>
      <c r="J20" s="4">
        <f t="shared" si="3"/>
        <v>77.30002520196777</v>
      </c>
      <c r="K20" s="4">
        <f t="shared" si="3"/>
        <v>81.061834125730442</v>
      </c>
      <c r="L20" s="4">
        <f t="shared" si="3"/>
        <v>84.734076170355905</v>
      </c>
      <c r="M20" s="4">
        <f t="shared" si="3"/>
        <v>88.318883880585531</v>
      </c>
      <c r="N20" s="4">
        <f t="shared" si="3"/>
        <v>91.818339026285884</v>
      </c>
      <c r="O20" s="4">
        <f t="shared" si="3"/>
        <v>95.234473811374315</v>
      </c>
      <c r="P20" s="4">
        <f t="shared" si="3"/>
        <v>98.569272053960631</v>
      </c>
      <c r="Q20" s="4">
        <f t="shared" si="3"/>
        <v>101.82467033839015</v>
      </c>
      <c r="R20" s="4">
        <f t="shared" si="3"/>
        <v>105.00255913985706</v>
      </c>
      <c r="S20" s="4">
        <f t="shared" si="3"/>
        <v>108.10478392224141</v>
      </c>
      <c r="T20" s="4">
        <f t="shared" si="3"/>
        <v>111.13314620980708</v>
      </c>
      <c r="U20" s="4">
        <f t="shared" si="3"/>
        <v>114.08940463338311</v>
      </c>
      <c r="V20" s="4">
        <f t="shared" si="3"/>
        <v>116.97527595163588</v>
      </c>
      <c r="W20" s="4">
        <f t="shared" si="3"/>
        <v>118.85872176231122</v>
      </c>
      <c r="X20" s="4">
        <f t="shared" si="3"/>
        <v>120.69732362511334</v>
      </c>
      <c r="Y20" s="4">
        <f t="shared" si="3"/>
        <v>122.49214925308684</v>
      </c>
      <c r="Z20" s="4">
        <f t="shared" si="3"/>
        <v>124.24424093753714</v>
      </c>
      <c r="AA20" s="4">
        <f t="shared" si="3"/>
        <v>125.95461615331007</v>
      </c>
      <c r="AB20" s="4">
        <f t="shared" si="3"/>
        <v>127.62426814965985</v>
      </c>
      <c r="AC20" s="4">
        <f t="shared" si="3"/>
        <v>129.25416652704888</v>
      </c>
      <c r="AD20" s="4">
        <f t="shared" si="3"/>
        <v>130.8452578002144</v>
      </c>
      <c r="AE20" s="4">
        <f t="shared" si="3"/>
        <v>132.39846594782833</v>
      </c>
      <c r="AF20" s="4">
        <f t="shared" si="3"/>
        <v>133.91469294907051</v>
      </c>
      <c r="AG20" s="4">
        <f t="shared" si="3"/>
        <v>135.39481930742599</v>
      </c>
      <c r="AH20" s="4">
        <f t="shared" si="3"/>
        <v>136.83970456201109</v>
      </c>
      <c r="AI20" s="4">
        <f t="shared" si="3"/>
        <v>138.25018778672509</v>
      </c>
      <c r="AJ20" s="4">
        <f t="shared" si="3"/>
        <v>139.62708807751736</v>
      </c>
      <c r="AK20" s="4">
        <f t="shared" si="3"/>
        <v>140.97120502805265</v>
      </c>
      <c r="AL20" s="4">
        <f t="shared" si="3"/>
        <v>142.28331919405142</v>
      </c>
      <c r="AM20" s="4">
        <f t="shared" si="3"/>
        <v>143.56419254657396</v>
      </c>
      <c r="AN20" s="4">
        <f t="shared" si="3"/>
        <v>144.81456891451271</v>
      </c>
      <c r="AO20" s="4">
        <f t="shared" si="3"/>
        <v>146.0351744165481</v>
      </c>
      <c r="AP20" s="4">
        <f t="shared" si="3"/>
        <v>147.22671788282076</v>
      </c>
      <c r="AQ20" s="4">
        <f t="shared" si="3"/>
        <v>148.38989126656315</v>
      </c>
      <c r="AR20" s="4">
        <f t="shared" si="3"/>
        <v>149.52537004593066</v>
      </c>
      <c r="AS20" s="4">
        <f t="shared" si="3"/>
        <v>150.63381361626566</v>
      </c>
      <c r="AT20" s="4">
        <f t="shared" si="3"/>
        <v>151.71586567302126</v>
      </c>
      <c r="AU20" s="4">
        <f t="shared" si="3"/>
        <v>152.77215458556836</v>
      </c>
    </row>
    <row r="21" spans="1:47" x14ac:dyDescent="0.35">
      <c r="A21" s="5" t="s">
        <v>22</v>
      </c>
      <c r="B21" s="11">
        <f>B20*(1/B11-1)</f>
        <v>56.723142857142861</v>
      </c>
      <c r="C21" s="4">
        <f>$B21*(1+$B$12)^(C15-$B15)</f>
        <v>57.290374285714293</v>
      </c>
      <c r="D21" s="4">
        <f t="shared" ref="D21:AU21" si="4">$B21*(1+$B$12)^(D15-$B15)</f>
        <v>57.863278028571436</v>
      </c>
      <c r="E21" s="4">
        <f t="shared" si="4"/>
        <v>58.441910808857145</v>
      </c>
      <c r="F21" s="4">
        <f t="shared" si="4"/>
        <v>59.02632991694572</v>
      </c>
      <c r="G21" s="4">
        <f t="shared" si="4"/>
        <v>59.61659321611517</v>
      </c>
      <c r="H21" s="4">
        <f t="shared" si="4"/>
        <v>60.212759148276334</v>
      </c>
      <c r="I21" s="4">
        <f t="shared" si="4"/>
        <v>60.814886739759082</v>
      </c>
      <c r="J21" s="4">
        <f t="shared" si="4"/>
        <v>61.423035607156692</v>
      </c>
      <c r="K21" s="4">
        <f t="shared" si="4"/>
        <v>62.037265963228258</v>
      </c>
      <c r="L21" s="4">
        <f t="shared" si="4"/>
        <v>62.657638622860546</v>
      </c>
      <c r="M21" s="4">
        <f t="shared" si="4"/>
        <v>63.284215009089138</v>
      </c>
      <c r="N21" s="4">
        <f t="shared" si="4"/>
        <v>63.917057159180032</v>
      </c>
      <c r="O21" s="4">
        <f t="shared" si="4"/>
        <v>64.556227730771838</v>
      </c>
      <c r="P21" s="4">
        <f t="shared" si="4"/>
        <v>65.201790008079556</v>
      </c>
      <c r="Q21" s="4">
        <f t="shared" si="4"/>
        <v>65.853807908160334</v>
      </c>
      <c r="R21" s="4">
        <f t="shared" si="4"/>
        <v>66.512345987241957</v>
      </c>
      <c r="S21" s="4">
        <f t="shared" si="4"/>
        <v>67.177469447114376</v>
      </c>
      <c r="T21" s="4">
        <f t="shared" si="4"/>
        <v>67.84924414158553</v>
      </c>
      <c r="U21" s="4">
        <f t="shared" si="4"/>
        <v>68.527736583001371</v>
      </c>
      <c r="V21" s="4">
        <f t="shared" si="4"/>
        <v>69.213013948831389</v>
      </c>
      <c r="W21" s="4">
        <f t="shared" si="4"/>
        <v>69.905144088319702</v>
      </c>
      <c r="X21" s="4">
        <f t="shared" si="4"/>
        <v>70.604195529202912</v>
      </c>
      <c r="Y21" s="4">
        <f t="shared" si="4"/>
        <v>71.310237484494934</v>
      </c>
      <c r="Z21" s="4">
        <f t="shared" si="4"/>
        <v>72.023339859339899</v>
      </c>
      <c r="AA21" s="4">
        <f t="shared" si="4"/>
        <v>72.743573257933306</v>
      </c>
      <c r="AB21" s="4">
        <f t="shared" si="4"/>
        <v>73.47100899051263</v>
      </c>
      <c r="AC21" s="4">
        <f t="shared" si="4"/>
        <v>74.205719080417737</v>
      </c>
      <c r="AD21" s="4">
        <f t="shared" si="4"/>
        <v>74.947776271221912</v>
      </c>
      <c r="AE21" s="4">
        <f t="shared" si="4"/>
        <v>75.697254033934144</v>
      </c>
      <c r="AF21" s="4">
        <f t="shared" si="4"/>
        <v>76.454226574273491</v>
      </c>
      <c r="AG21" s="4">
        <f t="shared" si="4"/>
        <v>77.21876884001621</v>
      </c>
      <c r="AH21" s="4">
        <f t="shared" si="4"/>
        <v>77.99095652841639</v>
      </c>
      <c r="AI21" s="4">
        <f t="shared" si="4"/>
        <v>78.770866093700548</v>
      </c>
      <c r="AJ21" s="4">
        <f t="shared" si="4"/>
        <v>79.558574754637561</v>
      </c>
      <c r="AK21" s="4">
        <f t="shared" si="4"/>
        <v>80.354160502183916</v>
      </c>
      <c r="AL21" s="4">
        <f t="shared" si="4"/>
        <v>81.157702107205765</v>
      </c>
      <c r="AM21" s="4">
        <f t="shared" si="4"/>
        <v>81.969279128277833</v>
      </c>
      <c r="AN21" s="4">
        <f t="shared" si="4"/>
        <v>82.788971919560609</v>
      </c>
      <c r="AO21" s="4">
        <f t="shared" si="4"/>
        <v>83.616861638756191</v>
      </c>
      <c r="AP21" s="4">
        <f t="shared" si="4"/>
        <v>84.453030255143787</v>
      </c>
      <c r="AQ21" s="4">
        <f t="shared" si="4"/>
        <v>85.29756055769522</v>
      </c>
      <c r="AR21" s="4">
        <f t="shared" si="4"/>
        <v>86.150536163272193</v>
      </c>
      <c r="AS21" s="4">
        <f t="shared" si="4"/>
        <v>87.012041524904888</v>
      </c>
      <c r="AT21" s="4">
        <f t="shared" si="4"/>
        <v>87.882161940153935</v>
      </c>
      <c r="AU21" s="4">
        <f t="shared" si="4"/>
        <v>88.760983559555484</v>
      </c>
    </row>
    <row r="22" spans="1:47" x14ac:dyDescent="0.35">
      <c r="A22" s="5" t="s">
        <v>23</v>
      </c>
      <c r="B22" s="4">
        <f>B20+B21</f>
        <v>113.44628571428572</v>
      </c>
      <c r="C22" s="4">
        <f t="shared" ref="C22:AU22" si="5">C20+C21</f>
        <v>115.15287088435375</v>
      </c>
      <c r="D22" s="4">
        <f t="shared" si="5"/>
        <v>117.07142947010041</v>
      </c>
      <c r="E22" s="4">
        <f t="shared" si="5"/>
        <v>119.04148721606401</v>
      </c>
      <c r="F22" s="4">
        <f t="shared" si="5"/>
        <v>121.2954402192191</v>
      </c>
      <c r="G22" s="4">
        <f t="shared" si="5"/>
        <v>125.07167708262014</v>
      </c>
      <c r="H22" s="4">
        <f t="shared" si="5"/>
        <v>129.71167435129308</v>
      </c>
      <c r="I22" s="4">
        <f t="shared" si="5"/>
        <v>134.26135158079924</v>
      </c>
      <c r="J22" s="4">
        <f t="shared" si="5"/>
        <v>138.72306080912446</v>
      </c>
      <c r="K22" s="4">
        <f t="shared" si="5"/>
        <v>143.09910008895869</v>
      </c>
      <c r="L22" s="4">
        <f t="shared" si="5"/>
        <v>147.39171479321647</v>
      </c>
      <c r="M22" s="4">
        <f t="shared" si="5"/>
        <v>151.60309888967467</v>
      </c>
      <c r="N22" s="4">
        <f t="shared" si="5"/>
        <v>155.7353961854659</v>
      </c>
      <c r="O22" s="4">
        <f t="shared" si="5"/>
        <v>159.79070154214617</v>
      </c>
      <c r="P22" s="4">
        <f t="shared" si="5"/>
        <v>163.77106206204019</v>
      </c>
      <c r="Q22" s="4">
        <f t="shared" si="5"/>
        <v>167.67847824655047</v>
      </c>
      <c r="R22" s="4">
        <f t="shared" si="5"/>
        <v>171.51490512709901</v>
      </c>
      <c r="S22" s="4">
        <f t="shared" si="5"/>
        <v>175.28225336935577</v>
      </c>
      <c r="T22" s="4">
        <f t="shared" si="5"/>
        <v>178.98239035139261</v>
      </c>
      <c r="U22" s="4">
        <f t="shared" si="5"/>
        <v>182.61714121638448</v>
      </c>
      <c r="V22" s="4">
        <f t="shared" si="5"/>
        <v>186.18828990046728</v>
      </c>
      <c r="W22" s="4">
        <f t="shared" si="5"/>
        <v>188.76386585063091</v>
      </c>
      <c r="X22" s="4">
        <f t="shared" si="5"/>
        <v>191.30151915431625</v>
      </c>
      <c r="Y22" s="4">
        <f t="shared" si="5"/>
        <v>193.80238673758177</v>
      </c>
      <c r="Z22" s="4">
        <f t="shared" si="5"/>
        <v>196.26758079687704</v>
      </c>
      <c r="AA22" s="4">
        <f t="shared" si="5"/>
        <v>198.69818941124339</v>
      </c>
      <c r="AB22" s="4">
        <f t="shared" si="5"/>
        <v>201.09527714017247</v>
      </c>
      <c r="AC22" s="4">
        <f t="shared" si="5"/>
        <v>203.45988560746662</v>
      </c>
      <c r="AD22" s="4">
        <f t="shared" si="5"/>
        <v>205.7930340714363</v>
      </c>
      <c r="AE22" s="4">
        <f t="shared" si="5"/>
        <v>208.09571998176247</v>
      </c>
      <c r="AF22" s="4">
        <f t="shared" si="5"/>
        <v>210.368919523344</v>
      </c>
      <c r="AG22" s="4">
        <f t="shared" si="5"/>
        <v>212.61358814744221</v>
      </c>
      <c r="AH22" s="4">
        <f t="shared" si="5"/>
        <v>214.8306610904275</v>
      </c>
      <c r="AI22" s="4">
        <f t="shared" si="5"/>
        <v>217.02105388042565</v>
      </c>
      <c r="AJ22" s="4">
        <f t="shared" si="5"/>
        <v>219.18566283215492</v>
      </c>
      <c r="AK22" s="4">
        <f t="shared" si="5"/>
        <v>221.32536553023658</v>
      </c>
      <c r="AL22" s="4">
        <f t="shared" si="5"/>
        <v>223.44102130125719</v>
      </c>
      <c r="AM22" s="4">
        <f t="shared" si="5"/>
        <v>225.5334716748518</v>
      </c>
      <c r="AN22" s="4">
        <f t="shared" si="5"/>
        <v>227.60354083407333</v>
      </c>
      <c r="AO22" s="4">
        <f t="shared" si="5"/>
        <v>229.65203605530428</v>
      </c>
      <c r="AP22" s="4">
        <f t="shared" si="5"/>
        <v>231.67974813796457</v>
      </c>
      <c r="AQ22" s="4">
        <f t="shared" si="5"/>
        <v>233.68745182425837</v>
      </c>
      <c r="AR22" s="4">
        <f t="shared" si="5"/>
        <v>235.67590620920285</v>
      </c>
      <c r="AS22" s="4">
        <f t="shared" si="5"/>
        <v>237.64585514117056</v>
      </c>
      <c r="AT22" s="4">
        <f t="shared" si="5"/>
        <v>239.59802761317519</v>
      </c>
      <c r="AU22" s="4">
        <f t="shared" si="5"/>
        <v>241.53313814512384</v>
      </c>
    </row>
    <row r="23" spans="1:47" x14ac:dyDescent="0.35">
      <c r="A23" s="8" t="s">
        <v>24</v>
      </c>
      <c r="B23" s="9">
        <f>B22/$B22</f>
        <v>1</v>
      </c>
      <c r="C23" s="9">
        <f t="shared" ref="C23:AU23" si="6">C22/$B22</f>
        <v>1.0150431118949637</v>
      </c>
      <c r="D23" s="9">
        <f t="shared" si="6"/>
        <v>1.0319547152468669</v>
      </c>
      <c r="E23" s="9">
        <f t="shared" si="6"/>
        <v>1.0493202705275853</v>
      </c>
      <c r="F23" s="9">
        <f t="shared" si="6"/>
        <v>1.069188289907538</v>
      </c>
      <c r="G23" s="9">
        <f t="shared" si="6"/>
        <v>1.1024748522627965</v>
      </c>
      <c r="H23" s="9">
        <f t="shared" si="6"/>
        <v>1.1433752417242793</v>
      </c>
      <c r="I23" s="9">
        <f t="shared" si="6"/>
        <v>1.1834794831356246</v>
      </c>
      <c r="J23" s="9">
        <f t="shared" si="6"/>
        <v>1.2228083091102537</v>
      </c>
      <c r="K23" s="9">
        <f t="shared" si="6"/>
        <v>1.2613819763950098</v>
      </c>
      <c r="L23" s="9">
        <f t="shared" si="6"/>
        <v>1.2992202773779853</v>
      </c>
      <c r="M23" s="9">
        <f t="shared" si="6"/>
        <v>1.3363425513241289</v>
      </c>
      <c r="N23" s="9">
        <f t="shared" si="6"/>
        <v>1.3727676953451367</v>
      </c>
      <c r="O23" s="9">
        <f t="shared" si="6"/>
        <v>1.4085141751099615</v>
      </c>
      <c r="P23" s="9">
        <f t="shared" si="6"/>
        <v>1.4436000353021459</v>
      </c>
      <c r="Q23" s="9">
        <f t="shared" si="6"/>
        <v>1.4780429098300181</v>
      </c>
      <c r="R23" s="9">
        <f t="shared" si="6"/>
        <v>1.5118600317956554</v>
      </c>
      <c r="S23" s="9">
        <f t="shared" si="6"/>
        <v>1.5450682432283753</v>
      </c>
      <c r="T23" s="9">
        <f t="shared" si="6"/>
        <v>1.5776840045883869</v>
      </c>
      <c r="U23" s="9">
        <f t="shared" si="6"/>
        <v>1.6097234040460826</v>
      </c>
      <c r="V23" s="9">
        <f t="shared" si="6"/>
        <v>1.6412021665423422</v>
      </c>
      <c r="W23" s="9">
        <f t="shared" si="6"/>
        <v>1.6639052099601779</v>
      </c>
      <c r="X23" s="9">
        <f t="shared" si="6"/>
        <v>1.6862739749462472</v>
      </c>
      <c r="Y23" s="9">
        <f t="shared" si="6"/>
        <v>1.7083184832130403</v>
      </c>
      <c r="Z23" s="9">
        <f t="shared" si="6"/>
        <v>1.7300485384878674</v>
      </c>
      <c r="AA23" s="9">
        <f t="shared" si="6"/>
        <v>1.751473731909253</v>
      </c>
      <c r="AB23" s="9">
        <f t="shared" si="6"/>
        <v>1.7726034472969048</v>
      </c>
      <c r="AC23" s="9">
        <f t="shared" si="6"/>
        <v>1.7934468662982939</v>
      </c>
      <c r="AD23" s="9">
        <f t="shared" si="6"/>
        <v>1.8140129734147992</v>
      </c>
      <c r="AE23" s="9">
        <f t="shared" si="6"/>
        <v>1.8343105609103076</v>
      </c>
      <c r="AF23" s="9">
        <f t="shared" si="6"/>
        <v>1.8543482336050894</v>
      </c>
      <c r="AG23" s="9">
        <f t="shared" si="6"/>
        <v>1.8741344135577005</v>
      </c>
      <c r="AH23" s="9">
        <f t="shared" si="6"/>
        <v>1.8936773446376036</v>
      </c>
      <c r="AI23" s="9">
        <f t="shared" si="6"/>
        <v>1.9129850969911242</v>
      </c>
      <c r="AJ23" s="9">
        <f t="shared" si="6"/>
        <v>1.9320655714033128</v>
      </c>
      <c r="AK23" s="9">
        <f t="shared" si="6"/>
        <v>1.9509265035582051</v>
      </c>
      <c r="AL23" s="9">
        <f t="shared" si="6"/>
        <v>1.9695754681999289</v>
      </c>
      <c r="AM23" s="9">
        <f t="shared" si="6"/>
        <v>1.9880198831970353</v>
      </c>
      <c r="AN23" s="9">
        <f t="shared" si="6"/>
        <v>2.0062670135123901</v>
      </c>
      <c r="AO23" s="9">
        <f t="shared" si="6"/>
        <v>2.0243239750808812</v>
      </c>
      <c r="AP23" s="9">
        <f t="shared" si="6"/>
        <v>2.0421977385971863</v>
      </c>
      <c r="AQ23" s="9">
        <f t="shared" si="6"/>
        <v>2.05989513321573</v>
      </c>
      <c r="AR23" s="9">
        <f t="shared" si="6"/>
        <v>2.0774228501649867</v>
      </c>
      <c r="AS23" s="9">
        <f t="shared" si="6"/>
        <v>2.0947874462781555</v>
      </c>
      <c r="AT23" s="9">
        <f t="shared" si="6"/>
        <v>2.1119953474422459</v>
      </c>
      <c r="AU23" s="9">
        <f t="shared" si="6"/>
        <v>2.1290528519675349</v>
      </c>
    </row>
    <row r="24" spans="1:47" x14ac:dyDescent="0.35">
      <c r="B24" s="12">
        <f>B20/B22</f>
        <v>0.5</v>
      </c>
      <c r="C24" s="12">
        <f t="shared" ref="C24:AU24" si="7">C20/C22</f>
        <v>0.50248418605863387</v>
      </c>
      <c r="D24" s="12">
        <f t="shared" si="7"/>
        <v>0.50574381563052939</v>
      </c>
      <c r="E24" s="12">
        <f t="shared" si="7"/>
        <v>0.50906266230710606</v>
      </c>
      <c r="F24" s="12">
        <f t="shared" si="7"/>
        <v>0.51336728066391824</v>
      </c>
      <c r="G24" s="12">
        <f t="shared" si="7"/>
        <v>0.52334057872484185</v>
      </c>
      <c r="H24" s="12">
        <f t="shared" si="7"/>
        <v>0.53579537501609553</v>
      </c>
      <c r="I24" s="12">
        <f t="shared" si="7"/>
        <v>0.54704100603992245</v>
      </c>
      <c r="J24" s="12">
        <f t="shared" si="7"/>
        <v>0.55722548760893109</v>
      </c>
      <c r="K24" s="12">
        <f t="shared" si="7"/>
        <v>0.56647340252550649</v>
      </c>
      <c r="L24" s="12">
        <f t="shared" si="7"/>
        <v>0.57489036130174453</v>
      </c>
      <c r="M24" s="12">
        <f t="shared" si="7"/>
        <v>0.58256648134123812</v>
      </c>
      <c r="N24" s="12">
        <f t="shared" si="7"/>
        <v>0.58957912764378273</v>
      </c>
      <c r="O24" s="12">
        <f t="shared" si="7"/>
        <v>0.59599509165591469</v>
      </c>
      <c r="P24" s="12">
        <f t="shared" si="7"/>
        <v>0.60187233820722463</v>
      </c>
      <c r="Q24" s="12">
        <f t="shared" si="7"/>
        <v>0.60726141722654214</v>
      </c>
      <c r="R24" s="12">
        <f t="shared" si="7"/>
        <v>0.61220661295906731</v>
      </c>
      <c r="S24" s="12">
        <f t="shared" si="7"/>
        <v>0.61674688591800786</v>
      </c>
      <c r="T24" s="12">
        <f t="shared" si="7"/>
        <v>0.62091664990964501</v>
      </c>
      <c r="U24" s="12">
        <f t="shared" si="7"/>
        <v>0.62474641686673693</v>
      </c>
      <c r="V24" s="12">
        <f t="shared" si="7"/>
        <v>0.62826333500441212</v>
      </c>
      <c r="W24" s="12">
        <f t="shared" si="7"/>
        <v>0.62966882579298455</v>
      </c>
      <c r="X24" s="12">
        <f t="shared" si="7"/>
        <v>0.63092715707997604</v>
      </c>
      <c r="Y24" s="12">
        <f t="shared" si="7"/>
        <v>0.63204664976054914</v>
      </c>
      <c r="Z24" s="12">
        <f t="shared" si="7"/>
        <v>0.63303496396646919</v>
      </c>
      <c r="AA24" s="12">
        <f t="shared" si="7"/>
        <v>0.63389916398595469</v>
      </c>
      <c r="AB24" s="12">
        <f t="shared" si="7"/>
        <v>0.63464577569715863</v>
      </c>
      <c r="AC24" s="12">
        <f t="shared" si="7"/>
        <v>0.6352808375033584</v>
      </c>
      <c r="AD24" s="12">
        <f t="shared" si="7"/>
        <v>0.6358099456116405</v>
      </c>
      <c r="AE24" s="12">
        <f t="shared" si="7"/>
        <v>0.63623829437449142</v>
      </c>
      <c r="AF24" s="12">
        <f t="shared" si="7"/>
        <v>0.63657071231099993</v>
      </c>
      <c r="AG24" s="12">
        <f t="shared" si="7"/>
        <v>0.63681169433786644</v>
      </c>
      <c r="AH24" s="12">
        <f t="shared" si="7"/>
        <v>0.63696543066732869</v>
      </c>
      <c r="AI24" s="12">
        <f t="shared" si="7"/>
        <v>0.63703583276716658</v>
      </c>
      <c r="AJ24" s="12">
        <f t="shared" si="7"/>
        <v>0.63702655672528696</v>
      </c>
      <c r="AK24" s="12">
        <f t="shared" si="7"/>
        <v>0.6369410243164999</v>
      </c>
      <c r="AL24" s="12">
        <f t="shared" si="7"/>
        <v>0.63678244203071432</v>
      </c>
      <c r="AM24" s="12">
        <f t="shared" si="7"/>
        <v>0.63655381828888036</v>
      </c>
      <c r="AN24" s="12">
        <f t="shared" si="7"/>
        <v>0.63625797904473236</v>
      </c>
      <c r="AO24" s="12">
        <f t="shared" si="7"/>
        <v>0.63589758194601964</v>
      </c>
      <c r="AP24" s="12">
        <f t="shared" si="7"/>
        <v>0.63547512920787408</v>
      </c>
      <c r="AQ24" s="12">
        <f t="shared" si="7"/>
        <v>0.63499297933274501</v>
      </c>
      <c r="AR24" s="12">
        <f t="shared" si="7"/>
        <v>0.63445335779551948</v>
      </c>
      <c r="AS24" s="12">
        <f t="shared" si="7"/>
        <v>0.63385836679871199</v>
      </c>
      <c r="AT24" s="12">
        <f t="shared" si="7"/>
        <v>0.63320999419061408</v>
      </c>
      <c r="AU24" s="12">
        <f t="shared" si="7"/>
        <v>0.63251012162884279</v>
      </c>
    </row>
    <row r="27" spans="1:47" x14ac:dyDescent="0.35">
      <c r="A27" s="16" t="s">
        <v>25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3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35">
      <c r="A29" s="1" t="s">
        <v>26</v>
      </c>
      <c r="B29" s="11">
        <v>53</v>
      </c>
      <c r="C29" s="12" t="s">
        <v>27</v>
      </c>
      <c r="D29" s="12"/>
      <c r="E29" s="12" t="s">
        <v>28</v>
      </c>
      <c r="F29" s="11">
        <v>2589.5652110000001</v>
      </c>
      <c r="G29" s="11">
        <v>3721.7576190538766</v>
      </c>
      <c r="H29" s="11">
        <v>4188.0027595155916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35">
      <c r="A30" s="1" t="s">
        <v>29</v>
      </c>
      <c r="B30" s="2">
        <v>2590</v>
      </c>
      <c r="C30" t="s">
        <v>28</v>
      </c>
      <c r="E30" t="s">
        <v>30</v>
      </c>
      <c r="F30" s="11">
        <f>F29*$B$31</f>
        <v>2071.6521688000003</v>
      </c>
      <c r="G30" s="11">
        <f t="shared" ref="G30:I30" si="8">G29*$B$31</f>
        <v>2977.4060952431014</v>
      </c>
      <c r="H30" s="11">
        <f t="shared" si="8"/>
        <v>3350.4022076124734</v>
      </c>
      <c r="I30" s="11">
        <f t="shared" si="8"/>
        <v>3703.9551673397505</v>
      </c>
    </row>
    <row r="31" spans="1:47" x14ac:dyDescent="0.35">
      <c r="A31" s="1" t="s">
        <v>31</v>
      </c>
      <c r="B31" s="2">
        <v>0.8</v>
      </c>
      <c r="E31" t="s">
        <v>32</v>
      </c>
      <c r="F31" s="21">
        <f>F30/$F30</f>
        <v>1</v>
      </c>
      <c r="G31" s="21">
        <f t="shared" ref="G31:I31" si="9">G30/$F30</f>
        <v>1.4372133218520737</v>
      </c>
      <c r="H31" s="21">
        <f t="shared" si="9"/>
        <v>1.6172609755976488</v>
      </c>
      <c r="I31" s="21">
        <f t="shared" si="9"/>
        <v>1.7879232928784845</v>
      </c>
    </row>
    <row r="32" spans="1:47" x14ac:dyDescent="0.35">
      <c r="A32" s="1" t="s">
        <v>33</v>
      </c>
      <c r="B32" s="14">
        <f>B30*B31*10^6*B29*10^-9</f>
        <v>109.816</v>
      </c>
      <c r="C32" t="s">
        <v>34</v>
      </c>
      <c r="E32" s="12" t="s">
        <v>35</v>
      </c>
      <c r="F32" s="13">
        <f>B23</f>
        <v>1</v>
      </c>
      <c r="G32" s="13">
        <f>L23</f>
        <v>1.2992202773779853</v>
      </c>
      <c r="H32" s="13">
        <f>V23</f>
        <v>1.6412021665423422</v>
      </c>
      <c r="I32" s="13">
        <f>AF23</f>
        <v>1.8543482336050894</v>
      </c>
    </row>
    <row r="33" spans="1:9" x14ac:dyDescent="0.35">
      <c r="A33" s="19" t="s">
        <v>36</v>
      </c>
      <c r="B33" s="20">
        <f>(B32-B22)/B32</f>
        <v>-3.3057894243878116E-2</v>
      </c>
      <c r="E33" t="s">
        <v>37</v>
      </c>
      <c r="F33" s="14">
        <f>B32</f>
        <v>109.816</v>
      </c>
      <c r="G33" s="14">
        <f>$F33*G32</f>
        <v>142.67517398054085</v>
      </c>
      <c r="H33" s="14">
        <f>$F33*H32</f>
        <v>180.23025712101386</v>
      </c>
      <c r="I33" s="14">
        <f>$F33*I32</f>
        <v>203.6371056215765</v>
      </c>
    </row>
    <row r="34" spans="1:9" x14ac:dyDescent="0.35">
      <c r="E34" t="s">
        <v>38</v>
      </c>
      <c r="F34" s="14">
        <f>F33*1000/F30</f>
        <v>53.008898720488716</v>
      </c>
      <c r="G34" s="14">
        <f>G33*1000/G30</f>
        <v>47.919285920885308</v>
      </c>
      <c r="H34" s="14">
        <f>H33*1000/H30</f>
        <v>53.793618184560458</v>
      </c>
      <c r="I34" s="14">
        <f>I33*1000/I30</f>
        <v>54.978285757122819</v>
      </c>
    </row>
    <row r="36" spans="1:9" x14ac:dyDescent="0.35">
      <c r="A36" t="s">
        <v>39</v>
      </c>
      <c r="B36" t="s">
        <v>40</v>
      </c>
      <c r="C36" t="s">
        <v>10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35">
      <c r="A37" t="s">
        <v>41</v>
      </c>
      <c r="B37">
        <v>80</v>
      </c>
      <c r="C37">
        <v>80</v>
      </c>
    </row>
    <row r="39" spans="1:9" x14ac:dyDescent="0.35">
      <c r="A39" t="s">
        <v>42</v>
      </c>
      <c r="B39">
        <v>66</v>
      </c>
      <c r="C39">
        <v>2022</v>
      </c>
      <c r="I39">
        <f>32*3.3</f>
        <v>105.6</v>
      </c>
    </row>
    <row r="40" spans="1:9" x14ac:dyDescent="0.35">
      <c r="I40">
        <f>129+105</f>
        <v>234</v>
      </c>
    </row>
    <row r="41" spans="1:9" x14ac:dyDescent="0.35">
      <c r="B41" s="18"/>
      <c r="I41">
        <f>I40/3.7</f>
        <v>63.243243243243242</v>
      </c>
    </row>
    <row r="45" spans="1:9" x14ac:dyDescent="0.35">
      <c r="F45">
        <v>1.82</v>
      </c>
    </row>
    <row r="46" spans="1:9" x14ac:dyDescent="0.35">
      <c r="F46">
        <f>4630/2590</f>
        <v>1.7876447876447876</v>
      </c>
    </row>
    <row r="47" spans="1:9" x14ac:dyDescent="0.35">
      <c r="F47">
        <f>1.82/1.7876</f>
        <v>1.018124860147684</v>
      </c>
    </row>
    <row r="48" spans="1:9" x14ac:dyDescent="0.35">
      <c r="F48">
        <f>54/53</f>
        <v>1.0188679245283019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YDPaperProfile xmlns="9f1b1f32-927f-4792-ab0c-a1940a8a4908">false</EYDPaperProfile>
    <EYDRelatedItems xmlns="{siteid}" xsi:nil="true"/>
    <EYDPriority xmlns="9f1b1f32-927f-4792-ab0c-a1940a8a4908">Medium</EYDPriority>
    <SourceItemID xmlns="{siteid}" xsi:nil="true"/>
    <AssignedTo xmlns="http://schemas.microsoft.com/sharepoint/v3">
      <UserInfo>
        <DisplayName/>
        <AccountId xsi:nil="true"/>
        <AccountType/>
      </UserInfo>
    </AssignedTo>
    <EYDReviewers xmlns="9f1b1f32-927f-4792-ab0c-a1940a8a4908">
      <UserInfo>
        <DisplayName/>
        <AccountId xsi:nil="true"/>
        <AccountType/>
      </UserInfo>
    </EYDReviewers>
    <EYDApprovers xmlns="9f1b1f32-927f-4792-ab0c-a1940a8a4908">
      <UserInfo>
        <DisplayName/>
        <AccountId xsi:nil="true"/>
        <AccountType/>
      </UserInfo>
    </EYDApprovers>
    <EYSignOff xmlns="9f1b1f32-927f-4792-ab0c-a1940a8a4908" xsi:nil="true"/>
    <lcf76f155ced4ddcb4097134ff3c332f xmlns="5fccdec6-aa1a-407e-97b5-1d6a9fcae9df">
      <Terms xmlns="http://schemas.microsoft.com/office/infopath/2007/PartnerControls"/>
    </lcf76f155ced4ddcb4097134ff3c332f>
    <TaskDueDate xmlns="9f1b1f32-927f-4792-ab0c-a1940a8a4908" xsi:nil="true"/>
    <Archive xmlns="9f1b1f32-927f-4792-ab0c-a1940a8a4908" xsi:nil="true"/>
    <TaxCatchAll xmlns="9f1b1f32-927f-4792-ab0c-a1940a8a4908" xsi:nil="true"/>
    <EYDDocumentStatus xmlns="9f1b1f32-927f-4792-ab0c-a1940a8a4908">Not Started</EYDDocumentStatus>
    <EYDHealthIndicator xmlns="9f1b1f32-927f-4792-ab0c-a1940a8a4908" xsi:nil="true"/>
    <EYDWorkProductIndicator xmlns="9f1b1f32-927f-4792-ab0c-a1940a8a4908">false</EYDWorkProductIndicator>
    <EYDComment xmlns="9f1b1f32-927f-4792-ab0c-a1940a8a49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YD Documents" ma:contentTypeID="0x01010051043DF050309246BC24501B977C98B400E83CF9A4B325464B9FA5CF466E7AA835" ma:contentTypeVersion="30" ma:contentTypeDescription="Create a new document." ma:contentTypeScope="" ma:versionID="1b8c0e56c30239462d424d2e2fc5c70a">
  <xsd:schema xmlns:xsd="http://www.w3.org/2001/XMLSchema" xmlns:xs="http://www.w3.org/2001/XMLSchema" xmlns:p="http://schemas.microsoft.com/office/2006/metadata/properties" xmlns:ns1="http://schemas.microsoft.com/sharepoint/v3" xmlns:ns2="9f1b1f32-927f-4792-ab0c-a1940a8a4908" xmlns:ns3="{siteid}" xmlns:ns4="5fccdec6-aa1a-407e-97b5-1d6a9fcae9df" targetNamespace="http://schemas.microsoft.com/office/2006/metadata/properties" ma:root="true" ma:fieldsID="86c343763ea606e1bcdb5b0407d34573" ns1:_="" ns2:_="" ns3:_="" ns4:_="">
    <xsd:import namespace="http://schemas.microsoft.com/sharepoint/v3"/>
    <xsd:import namespace="9f1b1f32-927f-4792-ab0c-a1940a8a4908"/>
    <xsd:import namespace="{siteid}"/>
    <xsd:import namespace="5fccdec6-aa1a-407e-97b5-1d6a9fcae9df"/>
    <xsd:element name="properties">
      <xsd:complexType>
        <xsd:sequence>
          <xsd:element name="documentManagement">
            <xsd:complexType>
              <xsd:all>
                <xsd:element ref="ns2:EYDDocumentStatus" minOccurs="0"/>
                <xsd:element ref="ns2:EYDApprovers" minOccurs="0"/>
                <xsd:element ref="ns2:TaskDueDate" minOccurs="0"/>
                <xsd:element ref="ns2:Archive" minOccurs="0"/>
                <xsd:element ref="ns1:AssignedTo" minOccurs="0"/>
                <xsd:element ref="ns2:EYSignOff" minOccurs="0"/>
                <xsd:element ref="ns2:EYDHealthIndicator" minOccurs="0"/>
                <xsd:element ref="ns2:EYDPriority" minOccurs="0"/>
                <xsd:element ref="ns2:EYDComment" minOccurs="0"/>
                <xsd:element ref="ns2:EYDWorkProductIndicator" minOccurs="0"/>
                <xsd:element ref="ns2:EYDPaperProfile" minOccurs="0"/>
                <xsd:element ref="ns3:EYDRelatedItems" minOccurs="0"/>
                <xsd:element ref="ns3:SourceItemID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lcf76f155ced4ddcb4097134ff3c332f" minOccurs="0"/>
                <xsd:element ref="ns2:TaxCatchAll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  <xsd:element ref="ns4:MediaServiceSearchProperties" minOccurs="0"/>
                <xsd:element ref="ns2:EYDReviewer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12" nillable="true" ma:displayName="Assigned To" ma:list="UserInfo" ma:SharePointGroup="22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b1f32-927f-4792-ab0c-a1940a8a4908" elementFormDefault="qualified">
    <xsd:import namespace="http://schemas.microsoft.com/office/2006/documentManagement/types"/>
    <xsd:import namespace="http://schemas.microsoft.com/office/infopath/2007/PartnerControls"/>
    <xsd:element name="EYDDocumentStatus" ma:index="8" nillable="true" ma:displayName="Document Status" ma:default="Not Started" ma:format="Dropdown" ma:internalName="EYDDocumentStatus">
      <xsd:simpleType>
        <xsd:restriction base="dms:Choice">
          <xsd:enumeration value="Not Started"/>
          <xsd:enumeration value="In Review"/>
          <xsd:enumeration value="Approved"/>
          <xsd:enumeration value="Completed"/>
        </xsd:restriction>
      </xsd:simpleType>
    </xsd:element>
    <xsd:element name="EYDApprovers" ma:index="9" nillable="true" ma:displayName="Approvers (EY users only)" ma:list="UserInfo" ma:SharePointGroup="22" ma:internalName="EYDApprove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skDueDate" ma:index="10" nillable="true" ma:displayName="Due Date" ma:format="DateTime" ma:internalName="TaskDueDate">
      <xsd:simpleType>
        <xsd:restriction base="dms:DateTime"/>
      </xsd:simpleType>
    </xsd:element>
    <xsd:element name="Archive" ma:index="11" nillable="true" ma:displayName="Archive" ma:internalName="Archive">
      <xsd:simpleType>
        <xsd:restriction base="dms:Boolean"/>
      </xsd:simpleType>
    </xsd:element>
    <xsd:element name="EYSignOff" ma:index="13" nillable="true" ma:displayName="Sign Offs" ma:hidden="true" ma:internalName="EYSignOff" ma:readOnly="false">
      <xsd:simpleType>
        <xsd:restriction base="dms:Note"/>
      </xsd:simpleType>
    </xsd:element>
    <xsd:element name="EYDHealthIndicator" ma:index="14" nillable="true" ma:displayName="Health" ma:format="Dropdown" ma:internalName="EYDHealthIndicator">
      <xsd:simpleType>
        <xsd:restriction base="dms:Choice">
          <xsd:enumeration value="Green"/>
          <xsd:enumeration value="Yellow"/>
          <xsd:enumeration value="Red"/>
        </xsd:restriction>
      </xsd:simpleType>
    </xsd:element>
    <xsd:element name="EYDPriority" ma:index="15" nillable="true" ma:displayName="Importance" ma:default="Medium" ma:format="Dropdown" ma:internalName="EYDPriority">
      <xsd:simpleType>
        <xsd:restriction base="dms:Choice">
          <xsd:enumeration value="Critical"/>
          <xsd:enumeration value="High"/>
          <xsd:enumeration value="Medium"/>
          <xsd:enumeration value="Low"/>
        </xsd:restriction>
      </xsd:simpleType>
    </xsd:element>
    <xsd:element name="EYDComment" ma:index="16" nillable="true" ma:displayName="Description" ma:internalName="EYDComment">
      <xsd:simpleType>
        <xsd:restriction base="dms:Note">
          <xsd:maxLength value="255"/>
        </xsd:restriction>
      </xsd:simpleType>
    </xsd:element>
    <xsd:element name="EYDWorkProductIndicator" ma:index="17" nillable="true" ma:displayName="WP Indicator" ma:default="0" ma:internalName="EYDWorkProductIndicator">
      <xsd:simpleType>
        <xsd:restriction base="dms:Boolean"/>
      </xsd:simpleType>
    </xsd:element>
    <xsd:element name="EYDPaperProfile" ma:index="18" nillable="true" ma:displayName="Paper Profile" ma:default="0" ma:internalName="EYDPaperProfile">
      <xsd:simpleType>
        <xsd:restriction base="dms:Boolean"/>
      </xsd:simpleType>
    </xsd:element>
    <xsd:element name="TaxCatchAll" ma:index="26" nillable="true" ma:displayName="Taxonomy Catch All Column" ma:hidden="true" ma:list="{6903328b-1e57-4bb3-9012-183563b45ccb}" ma:internalName="TaxCatchAll" ma:showField="CatchAllData" ma:web="9f1b1f32-927f-4792-ab0c-a1940a8a49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EYDReviewers" ma:index="33" nillable="true" ma:displayName="Reviewers" ma:list="UserInfo" ma:SharePointGroup="22" ma:internalName="EYDReviewe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{siteid}" elementFormDefault="qualified">
    <xsd:import namespace="http://schemas.microsoft.com/office/2006/documentManagement/types"/>
    <xsd:import namespace="http://schemas.microsoft.com/office/infopath/2007/PartnerControls"/>
    <xsd:element name="EYDRelatedItems" ma:index="19" nillable="true" ma:displayName="Related Items" ma:internalName="EYDRelatedItems">
      <xsd:simpleType>
        <xsd:restriction base="dms:Note">
          <xsd:maxLength value="255"/>
        </xsd:restriction>
      </xsd:simpleType>
    </xsd:element>
    <xsd:element name="SourceItemID" ma:index="20" nillable="true" ma:displayName="SourceItemID" ma:internalName="SourceItem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cdec6-aa1a-407e-97b5-1d6a9fcae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3D1F13-83A1-4D82-A2A5-FB0740A2819B}">
  <ds:schemaRefs>
    <ds:schemaRef ds:uri="http://schemas.openxmlformats.org/package/2006/metadata/core-properties"/>
    <ds:schemaRef ds:uri="http://schemas.microsoft.com/sharepoint/v3"/>
    <ds:schemaRef ds:uri="{siteid}"/>
    <ds:schemaRef ds:uri="http://purl.org/dc/elements/1.1/"/>
    <ds:schemaRef ds:uri="5fccdec6-aa1a-407e-97b5-1d6a9fcae9df"/>
    <ds:schemaRef ds:uri="9f1b1f32-927f-4792-ab0c-a1940a8a4908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1956435-9C01-484A-B8BB-DDAC2B45A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660318-1C00-4679-B43E-4A21D9B833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f1b1f32-927f-4792-ab0c-a1940a8a4908"/>
    <ds:schemaRef ds:uri="{siteid}"/>
    <ds:schemaRef ds:uri="5fccdec6-aa1a-407e-97b5-1d6a9fca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Heinen</dc:creator>
  <cp:keywords/>
  <dc:description/>
  <cp:lastModifiedBy>Abi Afthab OLIKATHODI</cp:lastModifiedBy>
  <cp:revision/>
  <dcterms:created xsi:type="dcterms:W3CDTF">2024-03-25T08:36:56Z</dcterms:created>
  <dcterms:modified xsi:type="dcterms:W3CDTF">2025-01-13T11:04:21Z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0x01010051043DF050309246BC24501B977C98B400E83CF9A4B325464B9FA5CF466E7AA835</vt:lpwstr>
  </property>
  <property fmtid="{D5CDD505-2E9C-101B-9397-08002B2CF9AE}" pid="3" name="MediaServiceImageTags">
    <vt:lpwstr/>
  </property>
</Properties>
</file>