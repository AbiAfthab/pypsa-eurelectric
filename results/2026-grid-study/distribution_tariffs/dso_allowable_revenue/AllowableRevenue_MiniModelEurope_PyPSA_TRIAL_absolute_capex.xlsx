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0" autoFilterDateGrouping="1"/>
  </bookViews>
  <sheets>
    <sheet xmlns:r="http://schemas.openxmlformats.org/officeDocument/2006/relationships" name="Inputs_PyPSA" sheetId="1" state="visible" r:id="rId1"/>
    <sheet xmlns:r="http://schemas.openxmlformats.org/officeDocument/2006/relationships" name="Mapping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Sheet1 (2)" sheetId="4" state="visible" r:id="rId4"/>
    <sheet xmlns:r="http://schemas.openxmlformats.org/officeDocument/2006/relationships" name="Original_Sheet1" sheetId="5" state="visible" r:id="rId5"/>
    <sheet xmlns:r="http://schemas.openxmlformats.org/officeDocument/2006/relationships" name="PyPSA_Build" sheetId="6" state="visible" r:id="rId6"/>
    <sheet xmlns:r="http://schemas.openxmlformats.org/officeDocument/2006/relationships" name="PyPSA_85pct" sheetId="7" state="visible" r:id="rId7"/>
    <sheet xmlns:r="http://schemas.openxmlformats.org/officeDocument/2006/relationships" name="PyPSA_75pct" sheetId="8" state="visible" r:id="rId8"/>
    <sheet xmlns:r="http://schemas.openxmlformats.org/officeDocument/2006/relationships" name="PyPSA_65pct" sheetId="9" state="visible" r:id="rId9"/>
    <sheet xmlns:r="http://schemas.openxmlformats.org/officeDocument/2006/relationships" name="PyPSA_50pct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9"/>
      <scheme val="minor"/>
    </font>
    <font>
      <name val="Tahoma"/>
      <charset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" fontId="0" fillId="3" borderId="0" pivotButton="0" quotePrefix="0" xfId="0"/>
    <xf numFmtId="0" fontId="2" fillId="4" borderId="0" pivotButton="0" quotePrefix="0" xfId="0"/>
    <xf numFmtId="164" fontId="0" fillId="2" borderId="0" pivotButton="0" quotePrefix="0" xfId="1"/>
    <xf numFmtId="164" fontId="0" fillId="3" borderId="0" pivotButton="0" quotePrefix="0" xfId="1"/>
    <xf numFmtId="0" fontId="2" fillId="5" borderId="0" pivotButton="0" quotePrefix="0" xfId="0"/>
    <xf numFmtId="2" fontId="0" fillId="5" borderId="0" pivotButton="0" quotePrefix="0" xfId="0"/>
    <xf numFmtId="9" fontId="0" fillId="2" borderId="0" pivotButton="0" quotePrefix="0" xfId="1"/>
    <xf numFmtId="1" fontId="0" fillId="2" borderId="0" pivotButton="0" quotePrefix="0" xfId="0"/>
    <xf numFmtId="2" fontId="0" fillId="0" borderId="0" pivotButton="0" quotePrefix="0" xfId="0"/>
    <xf numFmtId="2" fontId="0" fillId="6" borderId="0" pivotButton="0" quotePrefix="0" xfId="0"/>
    <xf numFmtId="1" fontId="0" fillId="7" borderId="0" pivotButton="0" quotePrefix="0" xfId="0"/>
    <xf numFmtId="1" fontId="0" fillId="8" borderId="0" pivotButton="0" quotePrefix="0" xfId="0"/>
    <xf numFmtId="0" fontId="3" fillId="9" borderId="0" pivotButton="0" quotePrefix="0" xfId="0"/>
    <xf numFmtId="0" fontId="4" fillId="9" borderId="0" pivotButton="0" quotePrefix="0" xfId="0"/>
    <xf numFmtId="9" fontId="0" fillId="0" borderId="0" pivotButton="0" quotePrefix="0" xfId="1"/>
    <xf numFmtId="0" fontId="5" fillId="0" borderId="0" pivotButton="0" quotePrefix="0" xfId="0"/>
    <xf numFmtId="9" fontId="5" fillId="0" borderId="0" pivotButton="0" quotePrefix="0" xfId="1"/>
    <xf numFmtId="2" fontId="0" fillId="7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Sheet1!$F$36:$I$36</f>
              <numCache>
                <formatCode>General</formatCode>
                <ptCount val="4"/>
                <pt idx="0">
                  <v>2018</v>
                </pt>
                <pt idx="1">
                  <v>2030</v>
                </pt>
                <pt idx="2">
                  <v>2040</v>
                </pt>
                <pt idx="3">
                  <v>2050</v>
                </pt>
              </numCache>
            </numRef>
          </cat>
          <val>
            <numRef>
              <f>Sheet1!$F$31:$I$31</f>
              <numCache>
                <formatCode>0.00</formatCode>
                <ptCount val="4"/>
                <pt idx="0">
                  <v>1</v>
                </pt>
                <pt idx="1">
                  <v>1.437213321852074</v>
                </pt>
                <pt idx="2">
                  <v>1.617260975597649</v>
                </pt>
                <pt idx="3">
                  <v>1.787923292878485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Sheet1!$F$36:$I$36</f>
              <numCache>
                <formatCode>General</formatCode>
                <ptCount val="4"/>
                <pt idx="0">
                  <v>2018</v>
                </pt>
                <pt idx="1">
                  <v>2030</v>
                </pt>
                <pt idx="2">
                  <v>2040</v>
                </pt>
                <pt idx="3">
                  <v>2050</v>
                </pt>
              </numCache>
            </numRef>
          </cat>
          <val>
            <numRef>
              <f>Sheet1!$F$32:$I$32</f>
              <numCache>
                <formatCode>0.00</formatCode>
                <ptCount val="4"/>
                <pt idx="0">
                  <v>1</v>
                </pt>
                <pt idx="1">
                  <v>1.30103371053838</v>
                </pt>
                <pt idx="2">
                  <v>1.587773000971189</v>
                </pt>
                <pt idx="3">
                  <v>1.822734359294921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872968447"/>
        <axId val="779046431"/>
      </lineChart>
      <catAx>
        <axId val="8729684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79046431"/>
        <crosses val="autoZero"/>
        <auto val="1"/>
        <lblAlgn val="ctr"/>
        <lblOffset val="100"/>
        <noMultiLvlLbl val="0"/>
      </catAx>
      <valAx>
        <axId val="77904643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relative change (2018=1)</a:t>
                </a:r>
                <a:endParaRPr lang="en-GB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GB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72968447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 (2)'!$F$36:$I$36</f>
              <numCache>
                <formatCode>General</formatCode>
                <ptCount val="4"/>
                <pt idx="0">
                  <v>2018</v>
                </pt>
                <pt idx="1">
                  <v>2030</v>
                </pt>
                <pt idx="2">
                  <v>2040</v>
                </pt>
                <pt idx="3">
                  <v>2050</v>
                </pt>
              </numCache>
            </numRef>
          </cat>
          <val>
            <numRef>
              <f>'Sheet1 (2)'!$F$31:$I$31</f>
              <numCache>
                <formatCode>0.00</formatCode>
                <ptCount val="4"/>
                <pt idx="0">
                  <v>1</v>
                </pt>
                <pt idx="1">
                  <v>1.437213321852074</v>
                </pt>
                <pt idx="2">
                  <v>1.617260975597649</v>
                </pt>
                <pt idx="3">
                  <v>1.787923292878485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 (2)'!$F$36:$I$36</f>
              <numCache>
                <formatCode>General</formatCode>
                <ptCount val="4"/>
                <pt idx="0">
                  <v>2018</v>
                </pt>
                <pt idx="1">
                  <v>2030</v>
                </pt>
                <pt idx="2">
                  <v>2040</v>
                </pt>
                <pt idx="3">
                  <v>2050</v>
                </pt>
              </numCache>
            </numRef>
          </cat>
          <val>
            <numRef>
              <f>'Sheet1 (2)'!$F$32:$I$32</f>
              <numCache>
                <formatCode>0.00</formatCode>
                <ptCount val="4"/>
                <pt idx="0">
                  <v>1</v>
                </pt>
                <pt idx="1">
                  <v>1.299220277377985</v>
                </pt>
                <pt idx="2">
                  <v>1.641202166542342</v>
                </pt>
                <pt idx="3">
                  <v>1.854348233605089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872968447"/>
        <axId val="779046431"/>
      </lineChart>
      <catAx>
        <axId val="8729684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79046431"/>
        <crosses val="autoZero"/>
        <auto val="1"/>
        <lblAlgn val="ctr"/>
        <lblOffset val="100"/>
        <noMultiLvlLbl val="0"/>
      </catAx>
      <valAx>
        <axId val="77904643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relative change (2018=1)</a:t>
                </a:r>
                <a:endParaRPr lang="en-GB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GB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72968447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omments/comment1.xml><?xml version="1.0" encoding="utf-8"?>
<comments xmlns="http://schemas.openxmlformats.org/spreadsheetml/2006/main">
  <authors>
    <author>tc={FCA4676D-1AF7-4E00-914A-81E97EC30451}</author>
  </authors>
  <commentList>
    <comment ref="M1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the depreciation does not grow after 2030 as the fleet age is reduced due to influx of new investment</t>
      </text>
    </comment>
  </commentList>
</comments>
</file>

<file path=xl/comments/comment2.xml><?xml version="1.0" encoding="utf-8"?>
<comments xmlns="http://schemas.openxmlformats.org/spreadsheetml/2006/main">
  <authors>
    <author>tc={7C15405D-412F-4299-864F-3C6DE1EDDE29}</author>
  </authors>
  <commentList>
    <comment ref="M1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the depreciation does not grow after 2030 as the fleet age is reduced due to influx of new investment</t>
      </text>
    </comment>
  </commentList>
</comments>
</file>

<file path=xl/comments/comment3.xml><?xml version="1.0" encoding="utf-8"?>
<comments xmlns="http://schemas.openxmlformats.org/spreadsheetml/2006/main">
  <authors>
    <author>tc={FCA4676D-1AF7-4E00-914A-81E97EC30451}</author>
  </authors>
  <commentList>
    <comment ref="M1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the depreciation does not grow after 2030 as the fleet age is reduced due to influx of new investment</t>
      </text>
    </comment>
  </commentList>
</comments>
</file>

<file path=xl/comments/comment4.xml><?xml version="1.0" encoding="utf-8"?>
<comments xmlns="http://schemas.openxmlformats.org/spreadsheetml/2006/main">
  <authors>
    <author>tc={FCA4676D-1AF7-4E00-914A-81E97EC30451}</author>
  </authors>
  <commentList>
    <comment ref="M1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the depreciation does not grow after 2030 as the fleet age is reduced due to influx of new investment</t>
      </text>
    </comment>
  </commentList>
</comments>
</file>

<file path=xl/comments/comment5.xml><?xml version="1.0" encoding="utf-8"?>
<comments xmlns="http://schemas.openxmlformats.org/spreadsheetml/2006/main">
  <authors>
    <author>tc={FCA4676D-1AF7-4E00-914A-81E97EC30451}</author>
  </authors>
  <commentList>
    <comment ref="M1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the depreciation does not grow after 2030 as the fleet age is reduced due to influx of new investment</t>
      </text>
    </comment>
  </commentList>
</comments>
</file>

<file path=xl/comments/comment6.xml><?xml version="1.0" encoding="utf-8"?>
<comments xmlns="http://schemas.openxmlformats.org/spreadsheetml/2006/main">
  <authors>
    <author>tc={FCA4676D-1AF7-4E00-914A-81E97EC30451}</author>
  </authors>
  <commentList>
    <comment ref="M1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the depreciation does not grow after 2030 as the fleet age is reduced due to influx of new investment</t>
      </text>
    </comment>
  </commentList>
</comments>
</file>

<file path=xl/comments/comment7.xml><?xml version="1.0" encoding="utf-8"?>
<comments xmlns="http://schemas.openxmlformats.org/spreadsheetml/2006/main">
  <authors>
    <author>tc={FCA4676D-1AF7-4E00-914A-81E97EC30451}</author>
  </authors>
  <commentList>
    <comment ref="M1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the depreciation does not grow after 2030 as the fleet age is reduced due to influx of new investment</t>
      </text>
    </comment>
  </commentList>
</comments>
</file>

<file path=xl/comments/comment8.xml><?xml version="1.0" encoding="utf-8"?>
<comments xmlns="http://schemas.openxmlformats.org/spreadsheetml/2006/main">
  <authors>
    <author>tc={FCA4676D-1AF7-4E00-914A-81E97EC30451}</author>
  </authors>
  <commentList>
    <comment ref="M1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the depreciation does not grow after 2030 as the fleet age is reduced due to influx of new investment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jpe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>
    <from>
      <col>13</col>
      <colOff>262284</colOff>
      <row>36</row>
      <rowOff>45908</rowOff>
    </from>
    <to>
      <col>20</col>
      <colOff>582545</colOff>
      <row>51</row>
      <rowOff>55848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15</col>
      <colOff>82037</colOff>
      <row>24</row>
      <rowOff>39022</rowOff>
    </from>
    <to>
      <col>20</col>
      <colOff>407505</colOff>
      <row>36</row>
      <rowOff>121027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44001" y="4611022"/>
          <a:ext cx="3393425" cy="23680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13</col>
      <colOff>262284</colOff>
      <row>36</row>
      <rowOff>45908</rowOff>
    </from>
    <to>
      <col>20</col>
      <colOff>582545</colOff>
      <row>51</row>
      <rowOff>55848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15</col>
      <colOff>82037</colOff>
      <row>24</row>
      <rowOff>39022</rowOff>
    </from>
    <to>
      <col>20</col>
      <colOff>407505</colOff>
      <row>36</row>
      <rowOff>121027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572362" y="4382422"/>
          <a:ext cx="3370293" cy="22537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quantities extracted from solved PyPSA networks</t>
        </is>
      </c>
    </row>
    <row r="2">
      <c r="A2" t="inlineStr">
        <is>
          <t>DSO assets: costed links with carrier 'electricity distribution grid' (capital_cost &gt; 0). Overnight CAPEX = new MW × 667901.6 EUR/MW (EUR2015).</t>
        </is>
      </c>
    </row>
    <row r="4">
      <c r="A4" t="inlineStr">
        <is>
          <t>run</t>
        </is>
      </c>
      <c r="B4" t="inlineStr">
        <is>
          <t>scenario</t>
        </is>
      </c>
      <c r="C4" t="inlineStr">
        <is>
          <t>cap_fraction</t>
        </is>
      </c>
      <c r="D4" t="inlineStr">
        <is>
          <t>year</t>
        </is>
      </c>
      <c r="E4" t="inlineStr">
        <is>
          <t>costed_dso_links</t>
        </is>
      </c>
      <c r="F4" t="inlineStr">
        <is>
          <t>new_dso_capacity_gw</t>
        </is>
      </c>
      <c r="G4" t="inlineStr">
        <is>
          <t>installed_dso_stock_gw</t>
        </is>
      </c>
      <c r="H4" t="inlineStr">
        <is>
          <t>overnight_investment_eur_per_mw</t>
        </is>
      </c>
      <c r="I4" t="inlineStr">
        <is>
          <t>overnight_capex_eur</t>
        </is>
      </c>
      <c r="J4" t="inlineStr">
        <is>
          <t>overnight_capex_bn_eur</t>
        </is>
      </c>
      <c r="K4" t="inlineStr">
        <is>
          <t>annualised_new_capex_bn_eur_per_yr</t>
        </is>
      </c>
      <c r="L4" t="inlineStr">
        <is>
          <t>dso_capital_cost_eur_per_mw_yr</t>
        </is>
      </c>
      <c r="M4" t="inlineStr">
        <is>
          <t>dso_lifetime_years</t>
        </is>
      </c>
      <c r="N4" t="inlineStr">
        <is>
          <t>dso_fom_percent</t>
        </is>
      </c>
      <c r="O4" t="inlineStr">
        <is>
          <t>dso_discount_rate</t>
        </is>
      </c>
      <c r="P4" t="inlineStr">
        <is>
          <t>dso_currency_year</t>
        </is>
      </c>
      <c r="Q4" t="inlineStr">
        <is>
          <t>dso_delivered_hv_to_lv_twh</t>
        </is>
      </c>
      <c r="R4" t="inlineStr">
        <is>
          <t>lv_electric_load_twh</t>
        </is>
      </c>
      <c r="S4" t="inlineStr">
        <is>
          <t>heat_pump_electricity_twh</t>
        </is>
      </c>
      <c r="T4" t="inlineStr">
        <is>
          <t>resistive_heater_electricity_twh</t>
        </is>
      </c>
      <c r="U4" t="inlineStr">
        <is>
          <t>bev_electricity_twh</t>
        </is>
      </c>
      <c r="V4" t="inlineStr">
        <is>
          <t>electrified_lv_demand_twh</t>
        </is>
      </c>
      <c r="W4" t="inlineStr">
        <is>
          <t>electrified_lv_demand_served_twh</t>
        </is>
      </c>
      <c r="X4" t="inlineStr">
        <is>
          <t>lv_load_shedding_twh</t>
        </is>
      </c>
      <c r="Y4" t="inlineStr">
        <is>
          <t>solar_rooftop_twh</t>
        </is>
      </c>
      <c r="Z4" t="inlineStr">
        <is>
          <t>old_proxy_dso_tariff_eur_per_mwh</t>
        </is>
      </c>
      <c r="AA4" t="inlineStr">
        <is>
          <t>old_proxy_vs_incomplete_lv_demand_eur_per_mwh</t>
        </is>
      </c>
    </row>
    <row r="5">
      <c r="A5" t="inlineStr">
        <is>
          <t>grid-build-2040</t>
        </is>
      </c>
      <c r="B5" t="inlineStr">
        <is>
          <t>Build</t>
        </is>
      </c>
      <c r="C5" t="n">
        <v>1</v>
      </c>
      <c r="D5" t="n">
        <v>2030</v>
      </c>
      <c r="E5" t="n">
        <v>37</v>
      </c>
      <c r="F5" t="n">
        <v>483.2552254169087</v>
      </c>
      <c r="G5" t="n">
        <v>483.2552254169087</v>
      </c>
      <c r="H5" t="n">
        <v>667901.6</v>
      </c>
      <c r="I5" t="n">
        <v>322766938264.314</v>
      </c>
      <c r="J5" t="n">
        <v>322.766938264314</v>
      </c>
      <c r="K5" t="n">
        <v>30.66580886136422</v>
      </c>
      <c r="L5" t="n">
        <v>63456.75586830653</v>
      </c>
      <c r="M5" t="n">
        <v>40</v>
      </c>
      <c r="N5" t="n">
        <v>2</v>
      </c>
      <c r="O5" t="n">
        <v>0.07000000000000001</v>
      </c>
      <c r="P5" t="n">
        <v>2015</v>
      </c>
      <c r="Q5" t="n">
        <v>3082.40347619039</v>
      </c>
      <c r="R5" t="n">
        <v>2875.52879328417</v>
      </c>
      <c r="S5" t="n">
        <v>630.7309321141418</v>
      </c>
      <c r="T5" t="n">
        <v>113.3944946336439</v>
      </c>
      <c r="U5" t="n">
        <v>186.4139988637477</v>
      </c>
      <c r="V5" t="n">
        <v>3806.068218895703</v>
      </c>
      <c r="W5" t="n">
        <v>3806.067658367262</v>
      </c>
      <c r="X5" t="n">
        <v>0.0005605284413542261</v>
      </c>
      <c r="Y5" t="n">
        <v>722.2663037016446</v>
      </c>
      <c r="Z5" t="n">
        <v>8.057084532890128</v>
      </c>
      <c r="AA5" t="n">
        <v>9.657498245091539</v>
      </c>
    </row>
    <row r="6">
      <c r="A6" t="inlineStr">
        <is>
          <t>grid-inaction-2040-mild85</t>
        </is>
      </c>
      <c r="B6" t="inlineStr">
        <is>
          <t>85%</t>
        </is>
      </c>
      <c r="C6" t="n">
        <v>0.85</v>
      </c>
      <c r="D6" t="n">
        <v>2030</v>
      </c>
      <c r="E6" t="n">
        <v>37</v>
      </c>
      <c r="F6" t="n">
        <v>410.7675687210597</v>
      </c>
      <c r="G6" t="n">
        <v>410.7675687210597</v>
      </c>
      <c r="H6" t="n">
        <v>667901.6</v>
      </c>
      <c r="I6" t="n">
        <v>274352316376.9057</v>
      </c>
      <c r="J6" t="n">
        <v>274.3523163769057</v>
      </c>
      <c r="K6" t="n">
        <v>26.06597732695012</v>
      </c>
      <c r="L6" t="n">
        <v>63456.75586830653</v>
      </c>
      <c r="M6" t="n">
        <v>40</v>
      </c>
      <c r="N6" t="n">
        <v>2</v>
      </c>
      <c r="O6" t="n">
        <v>0.07000000000000001</v>
      </c>
      <c r="P6" t="n">
        <v>2015</v>
      </c>
      <c r="Q6" t="n">
        <v>2846.579940410184</v>
      </c>
      <c r="R6" t="n">
        <v>2875.528793284837</v>
      </c>
      <c r="S6" t="n">
        <v>501.3023876349525</v>
      </c>
      <c r="T6" t="n">
        <v>107.1826391782854</v>
      </c>
      <c r="U6" t="n">
        <v>189.2017223594029</v>
      </c>
      <c r="V6" t="n">
        <v>3673.215542457478</v>
      </c>
      <c r="W6" t="n">
        <v>3673.214937286539</v>
      </c>
      <c r="X6" t="n">
        <v>0.0006051709390680016</v>
      </c>
      <c r="Y6" t="n">
        <v>819.6975126117176</v>
      </c>
      <c r="Z6" t="n">
        <v>7.096229807397402</v>
      </c>
      <c r="AA6" t="n">
        <v>8.217747784318107</v>
      </c>
    </row>
    <row r="7">
      <c r="A7" t="inlineStr">
        <is>
          <t>grid-inaction-2040-mild75</t>
        </is>
      </c>
      <c r="B7" t="inlineStr">
        <is>
          <t>75%</t>
        </is>
      </c>
      <c r="C7" t="n">
        <v>0.75</v>
      </c>
      <c r="D7" t="n">
        <v>2030</v>
      </c>
      <c r="E7" t="n">
        <v>37</v>
      </c>
      <c r="F7" t="n">
        <v>362.4515100152652</v>
      </c>
      <c r="G7" t="n">
        <v>362.4515100152652</v>
      </c>
      <c r="H7" t="n">
        <v>667901.6</v>
      </c>
      <c r="I7" t="n">
        <v>242081943461.6116</v>
      </c>
      <c r="J7" t="n">
        <v>242.0819434616116</v>
      </c>
      <c r="K7" t="n">
        <v>22.99999698513774</v>
      </c>
      <c r="L7" t="n">
        <v>63456.75586830653</v>
      </c>
      <c r="M7" t="n">
        <v>40</v>
      </c>
      <c r="N7" t="n">
        <v>2</v>
      </c>
      <c r="O7" t="n">
        <v>0.07000000000000001</v>
      </c>
      <c r="P7" t="n">
        <v>2015</v>
      </c>
      <c r="Q7" t="n">
        <v>2541.897097166679</v>
      </c>
      <c r="R7" t="n">
        <v>2875.528793284837</v>
      </c>
      <c r="S7" t="n">
        <v>438.333195729504</v>
      </c>
      <c r="T7" t="n">
        <v>132.074405010238</v>
      </c>
      <c r="U7" t="n">
        <v>179.7559403617659</v>
      </c>
      <c r="V7" t="n">
        <v>3625.692334386345</v>
      </c>
      <c r="W7" t="n">
        <v>3625.598440867375</v>
      </c>
      <c r="X7" t="n">
        <v>0.09389351896967779</v>
      </c>
      <c r="Y7" t="n">
        <v>1092.180997118327</v>
      </c>
      <c r="Z7" t="n">
        <v>6.343779478136388</v>
      </c>
      <c r="AA7" t="n">
        <v>7.216216792820716</v>
      </c>
    </row>
    <row r="8">
      <c r="A8" t="inlineStr">
        <is>
          <t>grid-inaction-2040-mild65</t>
        </is>
      </c>
      <c r="B8" t="inlineStr">
        <is>
          <t>65%</t>
        </is>
      </c>
      <c r="C8" t="n">
        <v>0.65</v>
      </c>
      <c r="D8" t="n">
        <v>2030</v>
      </c>
      <c r="E8" t="n">
        <v>37</v>
      </c>
      <c r="F8" t="n">
        <v>314.1194206543375</v>
      </c>
      <c r="G8" t="n">
        <v>314.1194206543375</v>
      </c>
      <c r="H8" t="n">
        <v>667901.6</v>
      </c>
      <c r="I8" t="n">
        <v>209800863646.1051</v>
      </c>
      <c r="J8" t="n">
        <v>209.8008636461051</v>
      </c>
      <c r="K8" t="n">
        <v>19.93299938995618</v>
      </c>
      <c r="L8" t="n">
        <v>63456.75586830653</v>
      </c>
      <c r="M8" t="n">
        <v>40</v>
      </c>
      <c r="N8" t="n">
        <v>2</v>
      </c>
      <c r="O8" t="n">
        <v>0.07000000000000001</v>
      </c>
      <c r="P8" t="n">
        <v>2015</v>
      </c>
      <c r="Q8" t="n">
        <v>2364.02282626194</v>
      </c>
      <c r="R8" t="n">
        <v>2875.52879328417</v>
      </c>
      <c r="S8" t="n">
        <v>378.9411752865483</v>
      </c>
      <c r="T8" t="n">
        <v>83.05996998248679</v>
      </c>
      <c r="U8" t="n">
        <v>162.3332939674461</v>
      </c>
      <c r="V8" t="n">
        <v>3499.863232520651</v>
      </c>
      <c r="W8" t="n">
        <v>3498.791154746572</v>
      </c>
      <c r="X8" t="n">
        <v>1.072077774078746</v>
      </c>
      <c r="Y8" t="n">
        <v>1158.936556877609</v>
      </c>
      <c r="Z8" t="n">
        <v>5.697110375654869</v>
      </c>
      <c r="AA8" t="n">
        <v>6.389089065560176</v>
      </c>
    </row>
    <row r="9">
      <c r="A9" t="inlineStr">
        <is>
          <t>grid-inaction-2040-moderate</t>
        </is>
      </c>
      <c r="B9" t="inlineStr">
        <is>
          <t>50%</t>
        </is>
      </c>
      <c r="C9" t="n">
        <v>0.5</v>
      </c>
      <c r="D9" t="n">
        <v>2030</v>
      </c>
      <c r="E9" t="n">
        <v>37</v>
      </c>
      <c r="F9" t="n">
        <v>241.6291165716594</v>
      </c>
      <c r="G9" t="n">
        <v>241.6291165716594</v>
      </c>
      <c r="H9" t="n">
        <v>667901.6</v>
      </c>
      <c r="I9" t="n">
        <v>161384473564.7978</v>
      </c>
      <c r="J9" t="n">
        <v>161.3844735647978</v>
      </c>
      <c r="K9" t="n">
        <v>15.33299986096236</v>
      </c>
      <c r="L9" t="n">
        <v>63456.75586830653</v>
      </c>
      <c r="M9" t="n">
        <v>40</v>
      </c>
      <c r="N9" t="n">
        <v>2</v>
      </c>
      <c r="O9" t="n">
        <v>0.07000000000000001</v>
      </c>
      <c r="P9" t="n">
        <v>2015</v>
      </c>
      <c r="Q9" t="n">
        <v>2041.080964531893</v>
      </c>
      <c r="R9" t="n">
        <v>2875.528793284837</v>
      </c>
      <c r="S9" t="n">
        <v>287.3587067285403</v>
      </c>
      <c r="T9" t="n">
        <v>16.74252433813286</v>
      </c>
      <c r="U9" t="n">
        <v>107.039006432701</v>
      </c>
      <c r="V9" t="n">
        <v>3286.669030784211</v>
      </c>
      <c r="W9" t="n">
        <v>3178.288606365625</v>
      </c>
      <c r="X9" t="n">
        <v>108.3804244185866</v>
      </c>
      <c r="Y9" t="n">
        <v>1160.87414969905</v>
      </c>
      <c r="Z9" t="n">
        <v>4.824294379765487</v>
      </c>
      <c r="AA9" t="n">
        <v>5.303829699532737</v>
      </c>
    </row>
    <row r="10">
      <c r="A10" t="inlineStr">
        <is>
          <t>grid-build-2040</t>
        </is>
      </c>
      <c r="B10" t="inlineStr">
        <is>
          <t>Build</t>
        </is>
      </c>
      <c r="C10" t="n">
        <v>1</v>
      </c>
      <c r="D10" t="n">
        <v>2040</v>
      </c>
      <c r="E10" t="n">
        <v>74</v>
      </c>
      <c r="F10" t="n">
        <v>223.5291346848132</v>
      </c>
      <c r="G10" t="n">
        <v>706.784360101722</v>
      </c>
      <c r="H10" t="n">
        <v>667901.6</v>
      </c>
      <c r="I10" t="n">
        <v>149295466702.6022</v>
      </c>
      <c r="J10" t="n">
        <v>149.2954667026022</v>
      </c>
      <c r="K10" t="n">
        <v>14.184433729148</v>
      </c>
      <c r="L10" t="n">
        <v>63456.75586830653</v>
      </c>
      <c r="M10" t="n">
        <v>40</v>
      </c>
      <c r="N10" t="n">
        <v>2</v>
      </c>
      <c r="O10" t="n">
        <v>0.07000000000000001</v>
      </c>
      <c r="P10" t="n">
        <v>2015</v>
      </c>
      <c r="Q10" t="n">
        <v>3927.203709779767</v>
      </c>
      <c r="R10" t="n">
        <v>3297.511924009645</v>
      </c>
      <c r="S10" t="n">
        <v>876.794690678345</v>
      </c>
      <c r="T10" t="n">
        <v>280.2599040268489</v>
      </c>
      <c r="U10" t="n">
        <v>503.9739607918693</v>
      </c>
      <c r="V10" t="n">
        <v>4958.540479506708</v>
      </c>
      <c r="W10" t="n">
        <v>4958.540113731281</v>
      </c>
      <c r="X10" t="n">
        <v>0.0003657754268218594</v>
      </c>
      <c r="Y10" t="n">
        <v>1025.653001681142</v>
      </c>
      <c r="Z10" t="n">
        <v>9.045049865849043</v>
      </c>
      <c r="AA10" t="n">
        <v>10.98800585092995</v>
      </c>
    </row>
    <row r="11">
      <c r="A11" t="inlineStr">
        <is>
          <t>grid-inaction-2040-mild85</t>
        </is>
      </c>
      <c r="B11" t="inlineStr">
        <is>
          <t>85%</t>
        </is>
      </c>
      <c r="C11" t="n">
        <v>0.85</v>
      </c>
      <c r="D11" t="n">
        <v>2040</v>
      </c>
      <c r="E11" t="n">
        <v>74</v>
      </c>
      <c r="F11" t="n">
        <v>189.9876254747971</v>
      </c>
      <c r="G11" t="n">
        <v>600.7551941958569</v>
      </c>
      <c r="H11" t="n">
        <v>667901.6</v>
      </c>
      <c r="I11" t="n">
        <v>126893039034.8177</v>
      </c>
      <c r="J11" t="n">
        <v>126.8930390348177</v>
      </c>
      <c r="K11" t="n">
        <v>12.05599836775346</v>
      </c>
      <c r="L11" t="n">
        <v>63456.75586830653</v>
      </c>
      <c r="M11" t="n">
        <v>40</v>
      </c>
      <c r="N11" t="n">
        <v>2</v>
      </c>
      <c r="O11" t="n">
        <v>0.07000000000000001</v>
      </c>
      <c r="P11" t="n">
        <v>2015</v>
      </c>
      <c r="Q11" t="n">
        <v>3735.267597829074</v>
      </c>
      <c r="R11" t="n">
        <v>3297.511924010311</v>
      </c>
      <c r="S11" t="n">
        <v>851.1124375663688</v>
      </c>
      <c r="T11" t="n">
        <v>192.1249099881582</v>
      </c>
      <c r="U11" t="n">
        <v>498.5991442225356</v>
      </c>
      <c r="V11" t="n">
        <v>4839.348415787374</v>
      </c>
      <c r="W11" t="n">
        <v>4839.348078019342</v>
      </c>
      <c r="X11" t="n">
        <v>0.0003377680318007878</v>
      </c>
      <c r="Y11" t="n">
        <v>1101.428567116899</v>
      </c>
      <c r="Z11" t="n">
        <v>7.877502316449657</v>
      </c>
      <c r="AA11" t="n">
        <v>9.558606645011018</v>
      </c>
    </row>
    <row r="12">
      <c r="A12" t="inlineStr">
        <is>
          <t>grid-inaction-2040-mild75</t>
        </is>
      </c>
      <c r="B12" t="inlineStr">
        <is>
          <t>75%</t>
        </is>
      </c>
      <c r="C12" t="n">
        <v>0.75</v>
      </c>
      <c r="D12" t="n">
        <v>2040</v>
      </c>
      <c r="E12" t="n">
        <v>74</v>
      </c>
      <c r="F12" t="n">
        <v>167.6417121310421</v>
      </c>
      <c r="G12" t="n">
        <v>530.0932221463073</v>
      </c>
      <c r="H12" t="n">
        <v>667901.6</v>
      </c>
      <c r="I12" t="n">
        <v>111968167759.0624</v>
      </c>
      <c r="J12" t="n">
        <v>111.9681677590624</v>
      </c>
      <c r="K12" t="n">
        <v>10.63799920004446</v>
      </c>
      <c r="L12" t="n">
        <v>63456.75586830653</v>
      </c>
      <c r="M12" t="n">
        <v>40</v>
      </c>
      <c r="N12" t="n">
        <v>2</v>
      </c>
      <c r="O12" t="n">
        <v>0.07000000000000001</v>
      </c>
      <c r="P12" t="n">
        <v>2015</v>
      </c>
      <c r="Q12" t="n">
        <v>3536.58113301761</v>
      </c>
      <c r="R12" t="n">
        <v>3297.511924010311</v>
      </c>
      <c r="S12" t="n">
        <v>784.0446647727816</v>
      </c>
      <c r="T12" t="n">
        <v>114.2403001102766</v>
      </c>
      <c r="U12" t="n">
        <v>486.7457569814471</v>
      </c>
      <c r="V12" t="n">
        <v>4682.542645874816</v>
      </c>
      <c r="W12" t="n">
        <v>4682.542217944492</v>
      </c>
      <c r="X12" t="n">
        <v>0.0004279303241869648</v>
      </c>
      <c r="Y12" t="n">
        <v>1155.547208587819</v>
      </c>
      <c r="Z12" t="n">
        <v>7.183703770202921</v>
      </c>
      <c r="AA12" t="n">
        <v>8.628451275495928</v>
      </c>
    </row>
    <row r="13">
      <c r="A13" t="inlineStr">
        <is>
          <t>grid-inaction-2040-mild65</t>
        </is>
      </c>
      <c r="B13" t="inlineStr">
        <is>
          <t>65%</t>
        </is>
      </c>
      <c r="C13" t="n">
        <v>0.65</v>
      </c>
      <c r="D13" t="n">
        <v>2040</v>
      </c>
      <c r="E13" t="n">
        <v>74</v>
      </c>
      <c r="F13" t="n">
        <v>145.2957168515455</v>
      </c>
      <c r="G13" t="n">
        <v>459.4151375058831</v>
      </c>
      <c r="H13" t="n">
        <v>667901.6</v>
      </c>
      <c r="I13" t="n">
        <v>97043241758.29419</v>
      </c>
      <c r="J13" t="n">
        <v>97.04324175829419</v>
      </c>
      <c r="K13" t="n">
        <v>9.219994832959113</v>
      </c>
      <c r="L13" t="n">
        <v>63456.75586830653</v>
      </c>
      <c r="M13" t="n">
        <v>40</v>
      </c>
      <c r="N13" t="n">
        <v>2</v>
      </c>
      <c r="O13" t="n">
        <v>0.07000000000000001</v>
      </c>
      <c r="P13" t="n">
        <v>2015</v>
      </c>
      <c r="Q13" t="n">
        <v>3331.312053044069</v>
      </c>
      <c r="R13" t="n">
        <v>3297.511924009645</v>
      </c>
      <c r="S13" t="n">
        <v>644.6638262196824</v>
      </c>
      <c r="T13" t="n">
        <v>52.34474280492796</v>
      </c>
      <c r="U13" t="n">
        <v>470.9787176202985</v>
      </c>
      <c r="V13" t="n">
        <v>4465.499210654554</v>
      </c>
      <c r="W13" t="n">
        <v>4465.498849459426</v>
      </c>
      <c r="X13" t="n">
        <v>0.0003611951274819801</v>
      </c>
      <c r="Y13" t="n">
        <v>1160.600584898742</v>
      </c>
      <c r="Z13" t="n">
        <v>6.528496637378919</v>
      </c>
      <c r="AA13" t="n">
        <v>7.630006018473948</v>
      </c>
    </row>
    <row r="14">
      <c r="A14" t="inlineStr">
        <is>
          <t>grid-inaction-2040-moderate</t>
        </is>
      </c>
      <c r="B14" t="inlineStr">
        <is>
          <t>50%</t>
        </is>
      </c>
      <c r="C14" t="n">
        <v>0.5</v>
      </c>
      <c r="D14" t="n">
        <v>2040</v>
      </c>
      <c r="E14" t="n">
        <v>74</v>
      </c>
      <c r="F14" t="n">
        <v>111.7611498715733</v>
      </c>
      <c r="G14" t="n">
        <v>353.3902664432326</v>
      </c>
      <c r="H14" t="n">
        <v>667901.6</v>
      </c>
      <c r="I14" t="n">
        <v>74645450817.06361</v>
      </c>
      <c r="J14" t="n">
        <v>74.64545081706362</v>
      </c>
      <c r="K14" t="n">
        <v>7.092000002961645</v>
      </c>
      <c r="L14" t="n">
        <v>63456.75586830653</v>
      </c>
      <c r="M14" t="n">
        <v>40</v>
      </c>
      <c r="N14" t="n">
        <v>2</v>
      </c>
      <c r="O14" t="n">
        <v>0.07000000000000001</v>
      </c>
      <c r="P14" t="n">
        <v>2015</v>
      </c>
      <c r="Q14" t="n">
        <v>2995.977486350659</v>
      </c>
      <c r="R14" t="n">
        <v>3297.511924010311</v>
      </c>
      <c r="S14" t="n">
        <v>472.9268041479395</v>
      </c>
      <c r="T14" t="n">
        <v>2.222895416891423</v>
      </c>
      <c r="U14" t="n">
        <v>390.0308448390291</v>
      </c>
      <c r="V14" t="n">
        <v>4162.69246841417</v>
      </c>
      <c r="W14" t="n">
        <v>4127.332335888381</v>
      </c>
      <c r="X14" t="n">
        <v>35.36013252578991</v>
      </c>
      <c r="Y14" t="n">
        <v>1160.897952872963</v>
      </c>
      <c r="Z14" t="n">
        <v>5.433291540138886</v>
      </c>
      <c r="AA14" t="n">
        <v>6.136428940124746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sheet</t>
        </is>
      </c>
      <c r="B1" t="inlineStr">
        <is>
          <t>Cell/range</t>
        </is>
      </c>
      <c r="C1" t="inlineStr">
        <is>
          <t>Quantity written</t>
        </is>
      </c>
      <c r="D1" t="inlineStr">
        <is>
          <t>Source</t>
        </is>
      </c>
      <c r="E1" t="inlineStr">
        <is>
          <t>Notes</t>
        </is>
      </c>
    </row>
    <row r="2">
      <c r="A2" t="inlineStr">
        <is>
          <t>PyPSA_*</t>
        </is>
      </c>
      <c r="B2" t="inlineStr">
        <is>
          <t>H17:L17 (2026-2030)</t>
        </is>
      </c>
      <c r="C2" t="inlineStr">
        <is>
          <t>2030 overnight CAPEX / 5  (bn EUR/yr)</t>
        </is>
      </c>
      <c r="D2" t="inlineStr">
        <is>
          <t>costed DSO (p_nom_opt - p_nom) × investment</t>
        </is>
      </c>
      <c r="E2" t="inlineStr">
        <is>
          <t>Replaces generic 72. Original 2020-2025 CAPEX kept.</t>
        </is>
      </c>
    </row>
    <row r="3">
      <c r="A3" t="inlineStr">
        <is>
          <t>PyPSA_*</t>
        </is>
      </c>
      <c r="B3" t="inlineStr">
        <is>
          <t>M17:V17 (2031-2040)</t>
        </is>
      </c>
      <c r="C3" t="inlineStr">
        <is>
          <t>2040 overnight CAPEX / 10  (bn EUR/yr)</t>
        </is>
      </c>
      <c r="D3" t="inlineStr">
        <is>
          <t>2040 cohort only; 2030 brownfield not recounted</t>
        </is>
      </c>
      <c r="E3" t="inlineStr">
        <is>
          <t>Replaces generic 72.</t>
        </is>
      </c>
    </row>
    <row r="4">
      <c r="A4" t="inlineStr">
        <is>
          <t>PyPSA_*</t>
        </is>
      </c>
      <c r="B4" t="inlineStr">
        <is>
          <t>W17:AN17 (2041+)</t>
        </is>
      </c>
      <c r="C4" t="inlineStr">
        <is>
          <t>(unchanged)</t>
        </is>
      </c>
      <c r="D4" t="inlineStr">
        <is>
          <t>Original Excel</t>
        </is>
      </c>
      <c r="E4" t="inlineStr">
        <is>
          <t>No PyPSA 2050 network; left as original 60 bn/yr.</t>
        </is>
      </c>
    </row>
    <row r="5">
      <c r="A5" t="inlineStr">
        <is>
          <t>PyPSA_*</t>
        </is>
      </c>
      <c r="B5" t="inlineStr">
        <is>
          <t>G30</t>
        </is>
      </c>
      <c r="C5" t="inlineStr">
        <is>
          <t>2030 DSO HV→LV delivery (TWh)</t>
        </is>
      </c>
      <c r="D5" t="inlineStr">
        <is>
          <t>weighted -min(p1,0) on costed DSO links</t>
        </is>
      </c>
      <c r="E5" t="inlineStr">
        <is>
          <t>Overwrites formula G29*$B$31 so the 80% DSO-share is NOT applied to PyPSA.</t>
        </is>
      </c>
    </row>
    <row r="6">
      <c r="A6" t="inlineStr">
        <is>
          <t>PyPSA_*</t>
        </is>
      </c>
      <c r="B6" t="inlineStr">
        <is>
          <t>H30</t>
        </is>
      </c>
      <c r="C6" t="inlineStr">
        <is>
          <t>2040 DSO HV→LV delivery (TWh)</t>
        </is>
      </c>
      <c r="D6" t="inlineStr">
        <is>
          <t>same</t>
        </is>
      </c>
      <c r="E6" t="inlineStr">
        <is>
          <t>Same 80% caveat.</t>
        </is>
      </c>
    </row>
    <row r="7">
      <c r="A7" t="inlineStr">
        <is>
          <t>PyPSA_*</t>
        </is>
      </c>
      <c r="B7" t="inlineStr">
        <is>
          <t>G35 / H35</t>
        </is>
      </c>
      <c r="C7" t="inlineStr">
        <is>
          <t>Direct DSO tariff = MAR × 1000 / TWh DSO</t>
        </is>
      </c>
      <c r="D7" t="inlineStr">
        <is>
          <t>L22 / V22 and G30 / H30</t>
        </is>
      </c>
      <c r="E7" t="inlineStr">
        <is>
          <t>This is allowable revenue / distributed electricity. Original G34/H34 still use the 2020-revenue scaling method.</t>
        </is>
      </c>
    </row>
    <row r="8">
      <c r="A8" t="inlineStr">
        <is>
          <t>PyPSA_*</t>
        </is>
      </c>
      <c r="B8" t="inlineStr">
        <is>
          <t>B8,B9,B11,B12,B13,B17:G17,F29,F30,I29,I30,B29</t>
        </is>
      </c>
      <c r="C8" t="inlineStr">
        <is>
          <t>(unchanged)</t>
        </is>
      </c>
      <c r="D8" t="inlineStr">
        <is>
          <t>Original Excel assumptions</t>
        </is>
      </c>
      <c r="E8" t="inlineStr">
        <is>
          <t>WACC 5.4%, lifetime 42, starting RAB 700 bn, OPEX method, 2020 volumes, today's 53 EUR/MWh.</t>
        </is>
      </c>
    </row>
    <row r="9">
      <c r="A9" t="inlineStr">
        <is>
          <t>PyPSA_*</t>
        </is>
      </c>
      <c r="B9" t="inlineStr">
        <is>
          <t>Rows 16,18-24</t>
        </is>
      </c>
      <c r="C9" t="inlineStr">
        <is>
          <t>(formulas unchanged)</t>
        </is>
      </c>
      <c r="D9" t="inlineStr">
        <is>
          <t>Original Excel</t>
        </is>
      </c>
      <c r="E9" t="inlineStr">
        <is>
          <t>Opening RAB, depreciation, new RAB, MAR, OPEX, ratios.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8"/>
  <sheetViews>
    <sheetView tabSelected="1" topLeftCell="A4" zoomScale="70" zoomScaleNormal="70" workbookViewId="0">
      <selection activeCell="L29" sqref="L29"/>
    </sheetView>
  </sheetViews>
  <sheetFormatPr baseColWidth="8" defaultRowHeight="14.5"/>
  <cols>
    <col width="39.1796875" customWidth="1" min="1" max="1"/>
    <col width="11.81640625" bestFit="1" customWidth="1" min="2" max="2"/>
  </cols>
  <sheetData>
    <row r="1">
      <c r="B1" s="2" t="inlineStr">
        <is>
          <t>INPUT</t>
        </is>
      </c>
    </row>
    <row r="2">
      <c r="B2" s="3" t="inlineStr">
        <is>
          <t>CALC</t>
        </is>
      </c>
    </row>
    <row r="4">
      <c r="A4" s="16" t="inlineStr">
        <is>
          <t>Simplified model of DSO allowable revenue for Europe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6">
      <c r="A6" t="inlineStr">
        <is>
          <t>Max allowable revenue</t>
        </is>
      </c>
      <c r="B6" t="inlineStr">
        <is>
          <t>(RAB*WACC)+Depreciation+ OPEX</t>
        </is>
      </c>
    </row>
    <row r="8">
      <c r="A8" s="1" t="inlineStr">
        <is>
          <t>WACC</t>
        </is>
      </c>
      <c r="B8" s="6" t="n">
        <v>0.054</v>
      </c>
    </row>
    <row r="9">
      <c r="A9" s="1" t="inlineStr">
        <is>
          <t>Average Asset Lifetime</t>
        </is>
      </c>
      <c r="B9" s="2" t="n">
        <v>42</v>
      </c>
      <c r="E9" t="inlineStr">
        <is>
          <t>Verbal Input on Share of CAPEX in allowance revenue</t>
        </is>
      </c>
    </row>
    <row r="10">
      <c r="A10" s="1" t="inlineStr">
        <is>
          <t>Depreciation rate</t>
        </is>
      </c>
      <c r="B10" s="7">
        <f>1/B9</f>
        <v/>
      </c>
      <c r="E10" t="inlineStr">
        <is>
          <t>Germany</t>
        </is>
      </c>
      <c r="F10" t="inlineStr">
        <is>
          <t>Italy</t>
        </is>
      </c>
      <c r="G10" t="inlineStr">
        <is>
          <t>Ireland</t>
        </is>
      </c>
      <c r="H10" t="inlineStr">
        <is>
          <t>Portugal</t>
        </is>
      </c>
    </row>
    <row r="11">
      <c r="A11" s="1" t="inlineStr">
        <is>
          <t>Share of CAPEX in allowable revenue</t>
        </is>
      </c>
      <c r="B11" s="10" t="n">
        <v>0.5</v>
      </c>
      <c r="E11" t="n">
        <v>40</v>
      </c>
      <c r="F11" t="n">
        <v>66</v>
      </c>
      <c r="G11" t="n">
        <v>80</v>
      </c>
      <c r="H11" t="n">
        <v>40</v>
      </c>
    </row>
    <row r="12">
      <c r="A12" s="1" t="inlineStr">
        <is>
          <t>OPEX Growth</t>
        </is>
      </c>
      <c r="B12" s="10" t="n">
        <v>0.01</v>
      </c>
    </row>
    <row r="13">
      <c r="A13" s="1" t="inlineStr">
        <is>
          <t>Starting RAB Europe</t>
        </is>
      </c>
      <c r="B13" s="2" t="n">
        <v>700</v>
      </c>
      <c r="C13" t="inlineStr">
        <is>
          <t>B EUR</t>
        </is>
      </c>
    </row>
    <row r="15">
      <c r="A15" s="5" t="inlineStr">
        <is>
          <t>B EUR</t>
        </is>
      </c>
      <c r="B15" s="5" t="n">
        <v>2020</v>
      </c>
      <c r="C15" s="5" t="n">
        <v>2021</v>
      </c>
      <c r="D15" s="5" t="n">
        <v>2022</v>
      </c>
      <c r="E15" s="5" t="n">
        <v>2023</v>
      </c>
      <c r="F15" s="5" t="n">
        <v>2024</v>
      </c>
      <c r="G15" s="5" t="n">
        <v>2025</v>
      </c>
      <c r="H15" s="5" t="n">
        <v>2026</v>
      </c>
      <c r="I15" s="5" t="n">
        <v>2027</v>
      </c>
      <c r="J15" s="5" t="n">
        <v>2028</v>
      </c>
      <c r="K15" s="5" t="n">
        <v>2029</v>
      </c>
      <c r="L15" s="5" t="n">
        <v>2030</v>
      </c>
      <c r="M15" s="5" t="n">
        <v>2031</v>
      </c>
      <c r="N15" s="5" t="n">
        <v>2032</v>
      </c>
      <c r="O15" s="5" t="n">
        <v>2033</v>
      </c>
      <c r="P15" s="5" t="n">
        <v>2034</v>
      </c>
      <c r="Q15" s="5" t="n">
        <v>2035</v>
      </c>
      <c r="R15" s="5" t="n">
        <v>2036</v>
      </c>
      <c r="S15" s="5" t="n">
        <v>2037</v>
      </c>
      <c r="T15" s="5" t="n">
        <v>2038</v>
      </c>
      <c r="U15" s="5" t="n">
        <v>2039</v>
      </c>
      <c r="V15" s="5" t="n">
        <v>2040</v>
      </c>
      <c r="W15" s="5" t="n">
        <v>2041</v>
      </c>
      <c r="X15" s="5" t="n">
        <v>2042</v>
      </c>
      <c r="Y15" s="5" t="n">
        <v>2043</v>
      </c>
      <c r="Z15" s="5" t="n">
        <v>2044</v>
      </c>
      <c r="AA15" s="5" t="n">
        <v>2045</v>
      </c>
      <c r="AB15" s="5" t="n">
        <v>2046</v>
      </c>
      <c r="AC15" s="5" t="n">
        <v>2047</v>
      </c>
      <c r="AD15" s="5" t="n">
        <v>2048</v>
      </c>
      <c r="AE15" s="5" t="n">
        <v>2049</v>
      </c>
      <c r="AF15" s="5" t="n">
        <v>2050</v>
      </c>
      <c r="AG15" s="5" t="n">
        <v>2051</v>
      </c>
      <c r="AH15" s="5" t="n">
        <v>2052</v>
      </c>
      <c r="AI15" s="5" t="n">
        <v>2053</v>
      </c>
      <c r="AJ15" s="5" t="n">
        <v>2054</v>
      </c>
      <c r="AK15" s="5" t="n">
        <v>2055</v>
      </c>
      <c r="AL15" s="5" t="n">
        <v>2056</v>
      </c>
      <c r="AM15" s="5" t="n">
        <v>2057</v>
      </c>
      <c r="AN15" s="5" t="n">
        <v>2058</v>
      </c>
      <c r="AO15" s="5" t="n">
        <v>2059</v>
      </c>
      <c r="AP15" s="5" t="n">
        <v>2060</v>
      </c>
      <c r="AQ15" s="5" t="n">
        <v>2061</v>
      </c>
      <c r="AR15" s="5" t="n">
        <v>2062</v>
      </c>
      <c r="AS15" s="5" t="n">
        <v>2063</v>
      </c>
      <c r="AT15" s="5" t="n">
        <v>2064</v>
      </c>
      <c r="AU15" s="5" t="n">
        <v>2065</v>
      </c>
    </row>
    <row r="16">
      <c r="A16" s="5" t="inlineStr">
        <is>
          <t>Opening RAB</t>
        </is>
      </c>
      <c r="B16" s="3">
        <f>B13</f>
        <v/>
      </c>
      <c r="C16" s="4">
        <f>B19</f>
        <v/>
      </c>
      <c r="D16" s="4">
        <f>C19</f>
        <v/>
      </c>
      <c r="E16" s="4">
        <f>D19</f>
        <v/>
      </c>
      <c r="F16" s="4">
        <f>E19</f>
        <v/>
      </c>
      <c r="G16" s="4">
        <f>F19</f>
        <v/>
      </c>
      <c r="H16" s="4">
        <f>G19</f>
        <v/>
      </c>
      <c r="I16" s="4">
        <f>H19</f>
        <v/>
      </c>
      <c r="J16" s="4">
        <f>I19</f>
        <v/>
      </c>
      <c r="K16" s="4">
        <f>J19</f>
        <v/>
      </c>
      <c r="L16" s="4">
        <f>K19</f>
        <v/>
      </c>
      <c r="M16" s="4">
        <f>L19</f>
        <v/>
      </c>
      <c r="N16" s="4">
        <f>M19</f>
        <v/>
      </c>
      <c r="O16" s="4">
        <f>N19</f>
        <v/>
      </c>
      <c r="P16" s="4">
        <f>O19</f>
        <v/>
      </c>
      <c r="Q16" s="4">
        <f>P19</f>
        <v/>
      </c>
      <c r="R16" s="4">
        <f>Q19</f>
        <v/>
      </c>
      <c r="S16" s="4">
        <f>R19</f>
        <v/>
      </c>
      <c r="T16" s="4">
        <f>S19</f>
        <v/>
      </c>
      <c r="U16" s="4">
        <f>T19</f>
        <v/>
      </c>
      <c r="V16" s="4">
        <f>U19</f>
        <v/>
      </c>
      <c r="W16" s="4">
        <f>V19</f>
        <v/>
      </c>
      <c r="X16" s="4">
        <f>W19</f>
        <v/>
      </c>
      <c r="Y16" s="4">
        <f>X19</f>
        <v/>
      </c>
      <c r="Z16" s="4">
        <f>Y19</f>
        <v/>
      </c>
      <c r="AA16" s="4">
        <f>Z19</f>
        <v/>
      </c>
      <c r="AB16" s="4">
        <f>AA19</f>
        <v/>
      </c>
      <c r="AC16" s="4">
        <f>AB19</f>
        <v/>
      </c>
      <c r="AD16" s="4">
        <f>AC19</f>
        <v/>
      </c>
      <c r="AE16" s="4">
        <f>AD19</f>
        <v/>
      </c>
      <c r="AF16" s="4">
        <f>AE19</f>
        <v/>
      </c>
      <c r="AG16" s="4">
        <f>AF19</f>
        <v/>
      </c>
      <c r="AH16" s="4">
        <f>AG19</f>
        <v/>
      </c>
      <c r="AI16" s="4">
        <f>AH19</f>
        <v/>
      </c>
      <c r="AJ16" s="4">
        <f>AI19</f>
        <v/>
      </c>
      <c r="AK16" s="4">
        <f>AJ19</f>
        <v/>
      </c>
      <c r="AL16" s="4">
        <f>AK19</f>
        <v/>
      </c>
      <c r="AM16" s="4">
        <f>AL19</f>
        <v/>
      </c>
      <c r="AN16" s="4">
        <f>AM19</f>
        <v/>
      </c>
      <c r="AO16" s="4">
        <f>AN19</f>
        <v/>
      </c>
      <c r="AP16" s="4">
        <f>AO19</f>
        <v/>
      </c>
      <c r="AQ16" s="4">
        <f>AP19</f>
        <v/>
      </c>
      <c r="AR16" s="4">
        <f>AQ19</f>
        <v/>
      </c>
      <c r="AS16" s="4">
        <f>AR19</f>
        <v/>
      </c>
      <c r="AT16" s="4">
        <f>AS19</f>
        <v/>
      </c>
      <c r="AU16" s="4">
        <f>AT19</f>
        <v/>
      </c>
    </row>
    <row r="17">
      <c r="A17" s="5" t="inlineStr">
        <is>
          <t>CAPEX addition</t>
        </is>
      </c>
      <c r="B17" s="2" t="n">
        <v>29</v>
      </c>
      <c r="C17" s="2" t="n">
        <v>32</v>
      </c>
      <c r="D17" s="2" t="n">
        <v>35</v>
      </c>
      <c r="E17" s="2" t="n">
        <v>36</v>
      </c>
      <c r="F17" s="2" t="n">
        <v>40</v>
      </c>
      <c r="G17" s="2" t="n">
        <v>60</v>
      </c>
      <c r="H17" s="2" t="n">
        <v>72</v>
      </c>
      <c r="I17" s="2" t="n">
        <v>72</v>
      </c>
      <c r="J17" s="2" t="n">
        <v>72</v>
      </c>
      <c r="K17" s="2" t="n">
        <v>72</v>
      </c>
      <c r="L17" s="2" t="n">
        <v>72</v>
      </c>
      <c r="M17" s="2" t="n">
        <v>72</v>
      </c>
      <c r="N17" s="2" t="n">
        <v>72</v>
      </c>
      <c r="O17" s="2" t="n">
        <v>72</v>
      </c>
      <c r="P17" s="2" t="n">
        <v>72</v>
      </c>
      <c r="Q17" s="2" t="n">
        <v>72</v>
      </c>
      <c r="R17" s="2" t="n">
        <v>72</v>
      </c>
      <c r="S17" s="2" t="n">
        <v>72</v>
      </c>
      <c r="T17" s="2" t="n">
        <v>72</v>
      </c>
      <c r="U17" s="2" t="n">
        <v>72</v>
      </c>
      <c r="V17" s="2" t="n">
        <v>72</v>
      </c>
      <c r="W17" s="2" t="n">
        <v>60</v>
      </c>
      <c r="X17" s="2" t="n">
        <v>60</v>
      </c>
      <c r="Y17" s="2" t="n">
        <v>60</v>
      </c>
      <c r="Z17" s="2" t="n">
        <v>60</v>
      </c>
      <c r="AA17" s="2" t="n">
        <v>60</v>
      </c>
      <c r="AB17" s="2" t="n">
        <v>60</v>
      </c>
      <c r="AC17" s="2" t="n">
        <v>60</v>
      </c>
      <c r="AD17" s="2" t="n">
        <v>60</v>
      </c>
      <c r="AE17" s="2" t="n">
        <v>60</v>
      </c>
      <c r="AF17" s="2" t="n">
        <v>60</v>
      </c>
      <c r="AG17" s="2" t="n">
        <v>60</v>
      </c>
      <c r="AH17" s="2" t="n">
        <v>60</v>
      </c>
      <c r="AI17" s="2" t="n">
        <v>60</v>
      </c>
      <c r="AJ17" s="2" t="n">
        <v>60</v>
      </c>
      <c r="AK17" s="2" t="n">
        <v>60</v>
      </c>
      <c r="AL17" s="2" t="n">
        <v>60</v>
      </c>
      <c r="AM17" s="2" t="n">
        <v>60</v>
      </c>
      <c r="AN17" s="2" t="n">
        <v>60</v>
      </c>
      <c r="AO17" s="2" t="n">
        <v>60</v>
      </c>
      <c r="AP17" s="2" t="n">
        <v>60</v>
      </c>
      <c r="AQ17" s="2" t="n">
        <v>60</v>
      </c>
      <c r="AR17" s="2" t="n">
        <v>60</v>
      </c>
      <c r="AS17" s="2" t="n">
        <v>60</v>
      </c>
      <c r="AT17" s="2" t="n">
        <v>60</v>
      </c>
      <c r="AU17" s="2" t="n">
        <v>60</v>
      </c>
    </row>
    <row r="18">
      <c r="A18" s="5" t="inlineStr">
        <is>
          <t>Depreciation</t>
        </is>
      </c>
      <c r="B18" s="4">
        <f>(B16*$B10)</f>
        <v/>
      </c>
      <c r="C18" s="4">
        <f>(C16*$B10)</f>
        <v/>
      </c>
      <c r="D18" s="4">
        <f>(D16*$B10)</f>
        <v/>
      </c>
      <c r="E18" s="4">
        <f>(E16*$B10)</f>
        <v/>
      </c>
      <c r="F18" s="4">
        <f>(F16*$B10)</f>
        <v/>
      </c>
      <c r="G18" s="4">
        <f>(G16*$B10)</f>
        <v/>
      </c>
      <c r="H18" s="4">
        <f>(H16*$B10)</f>
        <v/>
      </c>
      <c r="I18" s="4">
        <f>(I16*$B10)</f>
        <v/>
      </c>
      <c r="J18" s="4">
        <f>(J16*$B10)</f>
        <v/>
      </c>
      <c r="K18" s="4">
        <f>(K16*$B10)</f>
        <v/>
      </c>
      <c r="L18" s="4">
        <f>(L16*$B10)</f>
        <v/>
      </c>
      <c r="M18" s="15">
        <f>L18</f>
        <v/>
      </c>
      <c r="N18" s="15">
        <f>M18</f>
        <v/>
      </c>
      <c r="O18" s="15">
        <f>N18</f>
        <v/>
      </c>
      <c r="P18" s="15">
        <f>O18</f>
        <v/>
      </c>
      <c r="Q18" s="15">
        <f>P18</f>
        <v/>
      </c>
      <c r="R18" s="15">
        <f>Q18</f>
        <v/>
      </c>
      <c r="S18" s="15">
        <f>R18</f>
        <v/>
      </c>
      <c r="T18" s="15">
        <f>S18</f>
        <v/>
      </c>
      <c r="U18" s="15">
        <f>T18</f>
        <v/>
      </c>
      <c r="V18" s="15">
        <f>U18</f>
        <v/>
      </c>
      <c r="W18" s="15">
        <f>V18</f>
        <v/>
      </c>
      <c r="X18" s="15">
        <f>W18</f>
        <v/>
      </c>
      <c r="Y18" s="15">
        <f>X18</f>
        <v/>
      </c>
      <c r="Z18" s="15">
        <f>Y18</f>
        <v/>
      </c>
      <c r="AA18" s="15">
        <f>Z18</f>
        <v/>
      </c>
      <c r="AB18" s="15">
        <f>AA18</f>
        <v/>
      </c>
      <c r="AC18" s="15">
        <f>AB18</f>
        <v/>
      </c>
      <c r="AD18" s="15">
        <f>AC18</f>
        <v/>
      </c>
      <c r="AE18" s="15">
        <f>AD18</f>
        <v/>
      </c>
      <c r="AF18" s="15">
        <f>AE18</f>
        <v/>
      </c>
      <c r="AG18" s="15">
        <f>AF18</f>
        <v/>
      </c>
      <c r="AH18" s="15">
        <f>AG18</f>
        <v/>
      </c>
      <c r="AI18" s="15">
        <f>AH18</f>
        <v/>
      </c>
      <c r="AJ18" s="15">
        <f>AI18</f>
        <v/>
      </c>
      <c r="AK18" s="15">
        <f>AJ18</f>
        <v/>
      </c>
      <c r="AL18" s="15">
        <f>AK18</f>
        <v/>
      </c>
      <c r="AM18" s="15">
        <f>AL18</f>
        <v/>
      </c>
      <c r="AN18" s="15">
        <f>AM18</f>
        <v/>
      </c>
      <c r="AO18" s="15">
        <f>AN18</f>
        <v/>
      </c>
      <c r="AP18" s="15">
        <f>AO18</f>
        <v/>
      </c>
      <c r="AQ18" s="15">
        <f>AP18</f>
        <v/>
      </c>
      <c r="AR18" s="15">
        <f>AQ18</f>
        <v/>
      </c>
      <c r="AS18" s="15">
        <f>AR18</f>
        <v/>
      </c>
      <c r="AT18" s="15">
        <f>AS18</f>
        <v/>
      </c>
      <c r="AU18" s="15">
        <f>AT18</f>
        <v/>
      </c>
    </row>
    <row r="19">
      <c r="A19" s="5" t="inlineStr">
        <is>
          <t>New RAB</t>
        </is>
      </c>
      <c r="B19" s="4">
        <f>B16+B17-B18</f>
        <v/>
      </c>
      <c r="C19" s="4">
        <f>C16+C17-C18</f>
        <v/>
      </c>
      <c r="D19" s="4">
        <f>D16+D17-D18</f>
        <v/>
      </c>
      <c r="E19" s="4">
        <f>E16+E17-E18</f>
        <v/>
      </c>
      <c r="F19" s="4">
        <f>F16+F17-F18</f>
        <v/>
      </c>
      <c r="G19" s="4">
        <f>G16+G17-G18</f>
        <v/>
      </c>
      <c r="H19" s="4">
        <f>H16+H17-H18</f>
        <v/>
      </c>
      <c r="I19" s="4">
        <f>I16+I17-I18</f>
        <v/>
      </c>
      <c r="J19" s="4">
        <f>J16+J17-J18</f>
        <v/>
      </c>
      <c r="K19" s="4">
        <f>K16+K17-K18</f>
        <v/>
      </c>
      <c r="L19" s="4">
        <f>L16+L17-L18</f>
        <v/>
      </c>
      <c r="M19" s="4">
        <f>M16+M17-M18</f>
        <v/>
      </c>
      <c r="N19" s="4">
        <f>N16+N17-N18</f>
        <v/>
      </c>
      <c r="O19" s="4">
        <f>O16+O17-O18</f>
        <v/>
      </c>
      <c r="P19" s="4">
        <f>P16+P17-P18</f>
        <v/>
      </c>
      <c r="Q19" s="4">
        <f>Q16+Q17-Q18</f>
        <v/>
      </c>
      <c r="R19" s="4">
        <f>R16+R17-R18</f>
        <v/>
      </c>
      <c r="S19" s="4">
        <f>S16+S17-S18</f>
        <v/>
      </c>
      <c r="T19" s="4">
        <f>T16+T17-T18</f>
        <v/>
      </c>
      <c r="U19" s="4">
        <f>U16+U17-U18</f>
        <v/>
      </c>
      <c r="V19" s="4">
        <f>V16+V17-V18</f>
        <v/>
      </c>
      <c r="W19" s="4">
        <f>W16+W17-W18</f>
        <v/>
      </c>
      <c r="X19" s="4">
        <f>X16+X17-X18</f>
        <v/>
      </c>
      <c r="Y19" s="4">
        <f>Y16+Y17-Y18</f>
        <v/>
      </c>
      <c r="Z19" s="4">
        <f>Z16+Z17-Z18</f>
        <v/>
      </c>
      <c r="AA19" s="4">
        <f>AA16+AA17-AA18</f>
        <v/>
      </c>
      <c r="AB19" s="4">
        <f>AB16+AB17-AB18</f>
        <v/>
      </c>
      <c r="AC19" s="4">
        <f>AC16+AC17-AC18</f>
        <v/>
      </c>
      <c r="AD19" s="4">
        <f>AD16+AD17-AD18</f>
        <v/>
      </c>
      <c r="AE19" s="4">
        <f>AE16+AE17-AE18</f>
        <v/>
      </c>
      <c r="AF19" s="4">
        <f>AF16+AF17-AF18</f>
        <v/>
      </c>
      <c r="AG19" s="4">
        <f>AG16+AG17-AG18</f>
        <v/>
      </c>
      <c r="AH19" s="4">
        <f>AH16+AH17-AH18</f>
        <v/>
      </c>
      <c r="AI19" s="4">
        <f>AI16+AI17-AI18</f>
        <v/>
      </c>
      <c r="AJ19" s="4">
        <f>AJ16+AJ17-AJ18</f>
        <v/>
      </c>
      <c r="AK19" s="4">
        <f>AK16+AK17-AK18</f>
        <v/>
      </c>
      <c r="AL19" s="4">
        <f>AL16+AL17-AL18</f>
        <v/>
      </c>
      <c r="AM19" s="4">
        <f>AM16+AM17-AM18</f>
        <v/>
      </c>
      <c r="AN19" s="4">
        <f>AN16+AN17-AN18</f>
        <v/>
      </c>
      <c r="AO19" s="4">
        <f>AO16+AO17-AO18</f>
        <v/>
      </c>
      <c r="AP19" s="4">
        <f>AP16+AP17-AP18</f>
        <v/>
      </c>
      <c r="AQ19" s="4">
        <f>AQ16+AQ17-AQ18</f>
        <v/>
      </c>
      <c r="AR19" s="4">
        <f>AR16+AR17-AR18</f>
        <v/>
      </c>
      <c r="AS19" s="4">
        <f>AS16+AS17-AS18</f>
        <v/>
      </c>
      <c r="AT19" s="4">
        <f>AT16+AT17-AT18</f>
        <v/>
      </c>
      <c r="AU19" s="4">
        <f>AU16+AU17-AU18</f>
        <v/>
      </c>
    </row>
    <row r="20">
      <c r="A20" s="5" t="inlineStr">
        <is>
          <t>Max allowable Revenue CAPEX</t>
        </is>
      </c>
      <c r="B20" s="4">
        <f>(B16+B17)*$B8+B18</f>
        <v/>
      </c>
      <c r="C20" s="4">
        <f>(C16+C17)*$B8+C18</f>
        <v/>
      </c>
      <c r="D20" s="4">
        <f>(D16+D17)*$B8+D18</f>
        <v/>
      </c>
      <c r="E20" s="4">
        <f>(E16+E17)*$B8+E18</f>
        <v/>
      </c>
      <c r="F20" s="4">
        <f>(F16+F17)*$B8+F18</f>
        <v/>
      </c>
      <c r="G20" s="4">
        <f>(G16+G17)*$B8+G18</f>
        <v/>
      </c>
      <c r="H20" s="4">
        <f>(H16+H17)*$B8+H18</f>
        <v/>
      </c>
      <c r="I20" s="4">
        <f>(I16+I17)*$B8+I18</f>
        <v/>
      </c>
      <c r="J20" s="4">
        <f>(J16+J17)*$B8+J18</f>
        <v/>
      </c>
      <c r="K20" s="4">
        <f>(K16+K17)*$B8+K18</f>
        <v/>
      </c>
      <c r="L20" s="4">
        <f>(L16+L17)*$B8+L18</f>
        <v/>
      </c>
      <c r="M20" s="4">
        <f>(M16+M17)*$B8+M18</f>
        <v/>
      </c>
      <c r="N20" s="4">
        <f>(N16+N17)*$B8+N18</f>
        <v/>
      </c>
      <c r="O20" s="4">
        <f>(O16+O17)*$B8+O18</f>
        <v/>
      </c>
      <c r="P20" s="4">
        <f>(P16+P17)*$B8+P18</f>
        <v/>
      </c>
      <c r="Q20" s="4">
        <f>(Q16+Q17)*$B8+Q18</f>
        <v/>
      </c>
      <c r="R20" s="4">
        <f>(R16+R17)*$B8+R18</f>
        <v/>
      </c>
      <c r="S20" s="4">
        <f>(S16+S17)*$B8+S18</f>
        <v/>
      </c>
      <c r="T20" s="4">
        <f>(T16+T17)*$B8+T18</f>
        <v/>
      </c>
      <c r="U20" s="4">
        <f>(U16+U17)*$B8+U18</f>
        <v/>
      </c>
      <c r="V20" s="4">
        <f>(V16+V17)*$B8+V18</f>
        <v/>
      </c>
      <c r="W20" s="4">
        <f>(W16+W17)*$B8+W18</f>
        <v/>
      </c>
      <c r="X20" s="4">
        <f>(X16+X17)*$B8+X18</f>
        <v/>
      </c>
      <c r="Y20" s="4">
        <f>(Y16+Y17)*$B8+Y18</f>
        <v/>
      </c>
      <c r="Z20" s="4">
        <f>(Z16+Z17)*$B8+Z18</f>
        <v/>
      </c>
      <c r="AA20" s="4">
        <f>(AA16+AA17)*$B8+AA18</f>
        <v/>
      </c>
      <c r="AB20" s="4">
        <f>(AB16+AB17)*$B8+AB18</f>
        <v/>
      </c>
      <c r="AC20" s="4">
        <f>(AC16+AC17)*$B8+AC18</f>
        <v/>
      </c>
      <c r="AD20" s="4">
        <f>(AD16+AD17)*$B8+AD18</f>
        <v/>
      </c>
      <c r="AE20" s="4">
        <f>(AE16+AE17)*$B8+AE18</f>
        <v/>
      </c>
      <c r="AF20" s="4">
        <f>(AF16+AF17)*$B8+AF18</f>
        <v/>
      </c>
      <c r="AG20" s="4">
        <f>(AG16+AG17)*$B8+AG18</f>
        <v/>
      </c>
      <c r="AH20" s="4">
        <f>(AH16+AH17)*$B8+AH18</f>
        <v/>
      </c>
      <c r="AI20" s="4">
        <f>(AI16+AI17)*$B8+AI18</f>
        <v/>
      </c>
      <c r="AJ20" s="4">
        <f>(AJ16+AJ17)*$B8+AJ18</f>
        <v/>
      </c>
      <c r="AK20" s="4">
        <f>(AK16+AK17)*$B8+AK18</f>
        <v/>
      </c>
      <c r="AL20" s="4">
        <f>(AL16+AL17)*$B8+AL18</f>
        <v/>
      </c>
      <c r="AM20" s="4">
        <f>(AM16+AM17)*$B8+AM18</f>
        <v/>
      </c>
      <c r="AN20" s="4">
        <f>(AN16+AN17)*$B8+AN18</f>
        <v/>
      </c>
      <c r="AO20" s="4">
        <f>(AO16+AO17)*$B8+AO18</f>
        <v/>
      </c>
      <c r="AP20" s="4">
        <f>(AP16+AP17)*$B8+AP18</f>
        <v/>
      </c>
      <c r="AQ20" s="4">
        <f>(AQ16+AQ17)*$B8+AQ18</f>
        <v/>
      </c>
      <c r="AR20" s="4">
        <f>(AR16+AR17)*$B8+AR18</f>
        <v/>
      </c>
      <c r="AS20" s="4">
        <f>(AS16+AS17)*$B8+AS18</f>
        <v/>
      </c>
      <c r="AT20" s="4">
        <f>(AT16+AT17)*$B8+AT18</f>
        <v/>
      </c>
      <c r="AU20" s="4">
        <f>(AU16+AU17)*$B8+AU18</f>
        <v/>
      </c>
    </row>
    <row r="21">
      <c r="A21" s="5" t="inlineStr">
        <is>
          <t>OPEX</t>
        </is>
      </c>
      <c r="B21" s="11">
        <f>B20*(1/B11-1)</f>
        <v/>
      </c>
      <c r="C21" s="4">
        <f>$B21*(1+$B$12)^(C15-$B15)</f>
        <v/>
      </c>
      <c r="D21" s="4">
        <f>$B21*(1+$B$12)^(D15-$B15)</f>
        <v/>
      </c>
      <c r="E21" s="4">
        <f>$B21*(1+$B$12)^(E15-$B15)</f>
        <v/>
      </c>
      <c r="F21" s="4">
        <f>$B21*(1+$B$12)^(F15-$B15)</f>
        <v/>
      </c>
      <c r="G21" s="4">
        <f>$B21*(1+$B$12)^(G15-$B15)</f>
        <v/>
      </c>
      <c r="H21" s="4">
        <f>$B21*(1+$B$12)^(H15-$B15)</f>
        <v/>
      </c>
      <c r="I21" s="4">
        <f>$B21*(1+$B$12)^(I15-$B15)</f>
        <v/>
      </c>
      <c r="J21" s="4">
        <f>$B21*(1+$B$12)^(J15-$B15)</f>
        <v/>
      </c>
      <c r="K21" s="4">
        <f>$B21*(1+$B$12)^(K15-$B15)</f>
        <v/>
      </c>
      <c r="L21" s="4">
        <f>$B21*(1+$B$12)^(L15-$B15)</f>
        <v/>
      </c>
      <c r="M21" s="4">
        <f>$B21*(1+$B$12)^(M15-$B15)</f>
        <v/>
      </c>
      <c r="N21" s="4">
        <f>$B21*(1+$B$12)^(N15-$B15)</f>
        <v/>
      </c>
      <c r="O21" s="4">
        <f>$B21*(1+$B$12)^(O15-$B15)</f>
        <v/>
      </c>
      <c r="P21" s="4">
        <f>$B21*(1+$B$12)^(P15-$B15)</f>
        <v/>
      </c>
      <c r="Q21" s="4">
        <f>$B21*(1+$B$12)^(Q15-$B15)</f>
        <v/>
      </c>
      <c r="R21" s="4">
        <f>$B21*(1+$B$12)^(R15-$B15)</f>
        <v/>
      </c>
      <c r="S21" s="4">
        <f>$B21*(1+$B$12)^(S15-$B15)</f>
        <v/>
      </c>
      <c r="T21" s="4">
        <f>$B21*(1+$B$12)^(T15-$B15)</f>
        <v/>
      </c>
      <c r="U21" s="4">
        <f>$B21*(1+$B$12)^(U15-$B15)</f>
        <v/>
      </c>
      <c r="V21" s="4">
        <f>$B21*(1+$B$12)^(V15-$B15)</f>
        <v/>
      </c>
      <c r="W21" s="4">
        <f>$B21*(1+$B$12)^(W15-$B15)</f>
        <v/>
      </c>
      <c r="X21" s="4">
        <f>$B21*(1+$B$12)^(X15-$B15)</f>
        <v/>
      </c>
      <c r="Y21" s="4">
        <f>$B21*(1+$B$12)^(Y15-$B15)</f>
        <v/>
      </c>
      <c r="Z21" s="4">
        <f>$B21*(1+$B$12)^(Z15-$B15)</f>
        <v/>
      </c>
      <c r="AA21" s="4">
        <f>$B21*(1+$B$12)^(AA15-$B15)</f>
        <v/>
      </c>
      <c r="AB21" s="4">
        <f>$B21*(1+$B$12)^(AB15-$B15)</f>
        <v/>
      </c>
      <c r="AC21" s="4">
        <f>$B21*(1+$B$12)^(AC15-$B15)</f>
        <v/>
      </c>
      <c r="AD21" s="4">
        <f>$B21*(1+$B$12)^(AD15-$B15)</f>
        <v/>
      </c>
      <c r="AE21" s="4">
        <f>$B21*(1+$B$12)^(AE15-$B15)</f>
        <v/>
      </c>
      <c r="AF21" s="4">
        <f>$B21*(1+$B$12)^(AF15-$B15)</f>
        <v/>
      </c>
      <c r="AG21" s="4">
        <f>$B21*(1+$B$12)^(AG15-$B15)</f>
        <v/>
      </c>
      <c r="AH21" s="4">
        <f>$B21*(1+$B$12)^(AH15-$B15)</f>
        <v/>
      </c>
      <c r="AI21" s="4">
        <f>$B21*(1+$B$12)^(AI15-$B15)</f>
        <v/>
      </c>
      <c r="AJ21" s="4">
        <f>$B21*(1+$B$12)^(AJ15-$B15)</f>
        <v/>
      </c>
      <c r="AK21" s="4">
        <f>$B21*(1+$B$12)^(AK15-$B15)</f>
        <v/>
      </c>
      <c r="AL21" s="4">
        <f>$B21*(1+$B$12)^(AL15-$B15)</f>
        <v/>
      </c>
      <c r="AM21" s="4">
        <f>$B21*(1+$B$12)^(AM15-$B15)</f>
        <v/>
      </c>
      <c r="AN21" s="4">
        <f>$B21*(1+$B$12)^(AN15-$B15)</f>
        <v/>
      </c>
      <c r="AO21" s="4">
        <f>$B21*(1+$B$12)^(AO15-$B15)</f>
        <v/>
      </c>
      <c r="AP21" s="4">
        <f>$B21*(1+$B$12)^(AP15-$B15)</f>
        <v/>
      </c>
      <c r="AQ21" s="4">
        <f>$B21*(1+$B$12)^(AQ15-$B15)</f>
        <v/>
      </c>
      <c r="AR21" s="4">
        <f>$B21*(1+$B$12)^(AR15-$B15)</f>
        <v/>
      </c>
      <c r="AS21" s="4">
        <f>$B21*(1+$B$12)^(AS15-$B15)</f>
        <v/>
      </c>
      <c r="AT21" s="4">
        <f>$B21*(1+$B$12)^(AT15-$B15)</f>
        <v/>
      </c>
      <c r="AU21" s="4">
        <f>$B21*(1+$B$12)^(AU15-$B15)</f>
        <v/>
      </c>
    </row>
    <row r="22">
      <c r="A22" s="5" t="inlineStr">
        <is>
          <t>Max allowable Revenue</t>
        </is>
      </c>
      <c r="B22" s="4">
        <f>B20+B21</f>
        <v/>
      </c>
      <c r="C22" s="4">
        <f>C20+C21</f>
        <v/>
      </c>
      <c r="D22" s="4">
        <f>D20+D21</f>
        <v/>
      </c>
      <c r="E22" s="4">
        <f>E20+E21</f>
        <v/>
      </c>
      <c r="F22" s="4">
        <f>F20+F21</f>
        <v/>
      </c>
      <c r="G22" s="4">
        <f>G20+G21</f>
        <v/>
      </c>
      <c r="H22" s="4">
        <f>H20+H21</f>
        <v/>
      </c>
      <c r="I22" s="4">
        <f>I20+I21</f>
        <v/>
      </c>
      <c r="J22" s="4">
        <f>J20+J21</f>
        <v/>
      </c>
      <c r="K22" s="4">
        <f>K20+K21</f>
        <v/>
      </c>
      <c r="L22" s="4">
        <f>L20+L21</f>
        <v/>
      </c>
      <c r="M22" s="4">
        <f>M20+M21</f>
        <v/>
      </c>
      <c r="N22" s="4">
        <f>N20+N21</f>
        <v/>
      </c>
      <c r="O22" s="4">
        <f>O20+O21</f>
        <v/>
      </c>
      <c r="P22" s="4">
        <f>P20+P21</f>
        <v/>
      </c>
      <c r="Q22" s="4">
        <f>Q20+Q21</f>
        <v/>
      </c>
      <c r="R22" s="4">
        <f>R20+R21</f>
        <v/>
      </c>
      <c r="S22" s="4">
        <f>S20+S21</f>
        <v/>
      </c>
      <c r="T22" s="4">
        <f>T20+T21</f>
        <v/>
      </c>
      <c r="U22" s="4">
        <f>U20+U21</f>
        <v/>
      </c>
      <c r="V22" s="4">
        <f>V20+V21</f>
        <v/>
      </c>
      <c r="W22" s="4">
        <f>W20+W21</f>
        <v/>
      </c>
      <c r="X22" s="4">
        <f>X20+X21</f>
        <v/>
      </c>
      <c r="Y22" s="4">
        <f>Y20+Y21</f>
        <v/>
      </c>
      <c r="Z22" s="4">
        <f>Z20+Z21</f>
        <v/>
      </c>
      <c r="AA22" s="4">
        <f>AA20+AA21</f>
        <v/>
      </c>
      <c r="AB22" s="4">
        <f>AB20+AB21</f>
        <v/>
      </c>
      <c r="AC22" s="4">
        <f>AC20+AC21</f>
        <v/>
      </c>
      <c r="AD22" s="4">
        <f>AD20+AD21</f>
        <v/>
      </c>
      <c r="AE22" s="4">
        <f>AE20+AE21</f>
        <v/>
      </c>
      <c r="AF22" s="4">
        <f>AF20+AF21</f>
        <v/>
      </c>
      <c r="AG22" s="4">
        <f>AG20+AG21</f>
        <v/>
      </c>
      <c r="AH22" s="4">
        <f>AH20+AH21</f>
        <v/>
      </c>
      <c r="AI22" s="4">
        <f>AI20+AI21</f>
        <v/>
      </c>
      <c r="AJ22" s="4">
        <f>AJ20+AJ21</f>
        <v/>
      </c>
      <c r="AK22" s="4">
        <f>AK20+AK21</f>
        <v/>
      </c>
      <c r="AL22" s="4">
        <f>AL20+AL21</f>
        <v/>
      </c>
      <c r="AM22" s="4">
        <f>AM20+AM21</f>
        <v/>
      </c>
      <c r="AN22" s="4">
        <f>AN20+AN21</f>
        <v/>
      </c>
      <c r="AO22" s="4">
        <f>AO20+AO21</f>
        <v/>
      </c>
      <c r="AP22" s="4">
        <f>AP20+AP21</f>
        <v/>
      </c>
      <c r="AQ22" s="4">
        <f>AQ20+AQ21</f>
        <v/>
      </c>
      <c r="AR22" s="4">
        <f>AR20+AR21</f>
        <v/>
      </c>
      <c r="AS22" s="4">
        <f>AS20+AS21</f>
        <v/>
      </c>
      <c r="AT22" s="4">
        <f>AT20+AT21</f>
        <v/>
      </c>
      <c r="AU22" s="4">
        <f>AU20+AU21</f>
        <v/>
      </c>
    </row>
    <row r="23">
      <c r="A23" s="8" t="inlineStr">
        <is>
          <t>Ratio tariff impact (normalised to 2020)</t>
        </is>
      </c>
      <c r="B23" s="9">
        <f>B22/$B22</f>
        <v/>
      </c>
      <c r="C23" s="9">
        <f>C22/$B22</f>
        <v/>
      </c>
      <c r="D23" s="9">
        <f>D22/$B22</f>
        <v/>
      </c>
      <c r="E23" s="9">
        <f>E22/$B22</f>
        <v/>
      </c>
      <c r="F23" s="9">
        <f>F22/$B22</f>
        <v/>
      </c>
      <c r="G23" s="9">
        <f>G22/$B22</f>
        <v/>
      </c>
      <c r="H23" s="9">
        <f>H22/$B22</f>
        <v/>
      </c>
      <c r="I23" s="9">
        <f>I22/$B22</f>
        <v/>
      </c>
      <c r="J23" s="9">
        <f>J22/$B22</f>
        <v/>
      </c>
      <c r="K23" s="9">
        <f>K22/$B22</f>
        <v/>
      </c>
      <c r="L23" s="9">
        <f>L22/$B22</f>
        <v/>
      </c>
      <c r="M23" s="9">
        <f>M22/$B22</f>
        <v/>
      </c>
      <c r="N23" s="9">
        <f>N22/$B22</f>
        <v/>
      </c>
      <c r="O23" s="9">
        <f>O22/$B22</f>
        <v/>
      </c>
      <c r="P23" s="9">
        <f>P22/$B22</f>
        <v/>
      </c>
      <c r="Q23" s="9">
        <f>Q22/$B22</f>
        <v/>
      </c>
      <c r="R23" s="9">
        <f>R22/$B22</f>
        <v/>
      </c>
      <c r="S23" s="9">
        <f>S22/$B22</f>
        <v/>
      </c>
      <c r="T23" s="9">
        <f>T22/$B22</f>
        <v/>
      </c>
      <c r="U23" s="9">
        <f>U22/$B22</f>
        <v/>
      </c>
      <c r="V23" s="9">
        <f>V22/$B22</f>
        <v/>
      </c>
      <c r="W23" s="9">
        <f>W22/$B22</f>
        <v/>
      </c>
      <c r="X23" s="9">
        <f>X22/$B22</f>
        <v/>
      </c>
      <c r="Y23" s="9">
        <f>Y22/$B22</f>
        <v/>
      </c>
      <c r="Z23" s="9">
        <f>Z22/$B22</f>
        <v/>
      </c>
      <c r="AA23" s="9">
        <f>AA22/$B22</f>
        <v/>
      </c>
      <c r="AB23" s="9">
        <f>AB22/$B22</f>
        <v/>
      </c>
      <c r="AC23" s="9">
        <f>AC22/$B22</f>
        <v/>
      </c>
      <c r="AD23" s="9">
        <f>AD22/$B22</f>
        <v/>
      </c>
      <c r="AE23" s="9">
        <f>AE22/$B22</f>
        <v/>
      </c>
      <c r="AF23" s="9">
        <f>AF22/$B22</f>
        <v/>
      </c>
      <c r="AG23" s="9">
        <f>AG22/$B22</f>
        <v/>
      </c>
      <c r="AH23" s="9">
        <f>AH22/$B22</f>
        <v/>
      </c>
      <c r="AI23" s="9">
        <f>AI22/$B22</f>
        <v/>
      </c>
      <c r="AJ23" s="9">
        <f>AJ22/$B22</f>
        <v/>
      </c>
      <c r="AK23" s="9">
        <f>AK22/$B22</f>
        <v/>
      </c>
      <c r="AL23" s="9">
        <f>AL22/$B22</f>
        <v/>
      </c>
      <c r="AM23" s="9">
        <f>AM22/$B22</f>
        <v/>
      </c>
      <c r="AN23" s="9">
        <f>AN22/$B22</f>
        <v/>
      </c>
      <c r="AO23" s="9">
        <f>AO22/$B22</f>
        <v/>
      </c>
      <c r="AP23" s="9">
        <f>AP22/$B22</f>
        <v/>
      </c>
      <c r="AQ23" s="9">
        <f>AQ22/$B22</f>
        <v/>
      </c>
      <c r="AR23" s="9">
        <f>AR22/$B22</f>
        <v/>
      </c>
      <c r="AS23" s="9">
        <f>AS22/$B22</f>
        <v/>
      </c>
      <c r="AT23" s="9">
        <f>AT22/$B22</f>
        <v/>
      </c>
      <c r="AU23" s="9">
        <f>AU22/$B22</f>
        <v/>
      </c>
    </row>
    <row r="24">
      <c r="B24" s="12">
        <f>B20/B22</f>
        <v/>
      </c>
      <c r="C24" s="12">
        <f>C20/C22</f>
        <v/>
      </c>
      <c r="D24" s="12">
        <f>D20/D22</f>
        <v/>
      </c>
      <c r="E24" s="12">
        <f>E20/E22</f>
        <v/>
      </c>
      <c r="F24" s="12">
        <f>F20/F22</f>
        <v/>
      </c>
      <c r="G24" s="12">
        <f>G20/G22</f>
        <v/>
      </c>
      <c r="H24" s="12">
        <f>H20/H22</f>
        <v/>
      </c>
      <c r="I24" s="12">
        <f>I20/I22</f>
        <v/>
      </c>
      <c r="J24" s="12">
        <f>J20/J22</f>
        <v/>
      </c>
      <c r="K24" s="12">
        <f>K20/K22</f>
        <v/>
      </c>
      <c r="L24" s="12">
        <f>L20/L22</f>
        <v/>
      </c>
      <c r="M24" s="12">
        <f>M20/M22</f>
        <v/>
      </c>
      <c r="N24" s="12">
        <f>N20/N22</f>
        <v/>
      </c>
      <c r="O24" s="12">
        <f>O20/O22</f>
        <v/>
      </c>
      <c r="P24" s="12">
        <f>P20/P22</f>
        <v/>
      </c>
      <c r="Q24" s="12">
        <f>Q20/Q22</f>
        <v/>
      </c>
      <c r="R24" s="12">
        <f>R20/R22</f>
        <v/>
      </c>
      <c r="S24" s="12">
        <f>S20/S22</f>
        <v/>
      </c>
      <c r="T24" s="12">
        <f>T20/T22</f>
        <v/>
      </c>
      <c r="U24" s="12">
        <f>U20/U22</f>
        <v/>
      </c>
      <c r="V24" s="12">
        <f>V20/V22</f>
        <v/>
      </c>
      <c r="W24" s="12">
        <f>W20/W22</f>
        <v/>
      </c>
      <c r="X24" s="12">
        <f>X20/X22</f>
        <v/>
      </c>
      <c r="Y24" s="12">
        <f>Y20/Y22</f>
        <v/>
      </c>
      <c r="Z24" s="12">
        <f>Z20/Z22</f>
        <v/>
      </c>
      <c r="AA24" s="12">
        <f>AA20/AA22</f>
        <v/>
      </c>
      <c r="AB24" s="12">
        <f>AB20/AB22</f>
        <v/>
      </c>
      <c r="AC24" s="12">
        <f>AC20/AC22</f>
        <v/>
      </c>
      <c r="AD24" s="12">
        <f>AD20/AD22</f>
        <v/>
      </c>
      <c r="AE24" s="12">
        <f>AE20/AE22</f>
        <v/>
      </c>
      <c r="AF24" s="12">
        <f>AF20/AF22</f>
        <v/>
      </c>
      <c r="AG24" s="12">
        <f>AG20/AG22</f>
        <v/>
      </c>
      <c r="AH24" s="12">
        <f>AH20/AH22</f>
        <v/>
      </c>
      <c r="AI24" s="12">
        <f>AI20/AI22</f>
        <v/>
      </c>
      <c r="AJ24" s="12">
        <f>AJ20/AJ22</f>
        <v/>
      </c>
      <c r="AK24" s="12">
        <f>AK20/AK22</f>
        <v/>
      </c>
      <c r="AL24" s="12">
        <f>AL20/AL22</f>
        <v/>
      </c>
      <c r="AM24" s="12">
        <f>AM20/AM22</f>
        <v/>
      </c>
      <c r="AN24" s="12">
        <f>AN20/AN22</f>
        <v/>
      </c>
      <c r="AO24" s="12">
        <f>AO20/AO22</f>
        <v/>
      </c>
      <c r="AP24" s="12">
        <f>AP20/AP22</f>
        <v/>
      </c>
      <c r="AQ24" s="12">
        <f>AQ20/AQ22</f>
        <v/>
      </c>
      <c r="AR24" s="12">
        <f>AR20/AR22</f>
        <v/>
      </c>
      <c r="AS24" s="12">
        <f>AS20/AS22</f>
        <v/>
      </c>
      <c r="AT24" s="12">
        <f>AT20/AT22</f>
        <v/>
      </c>
      <c r="AU24" s="12">
        <f>AU20/AU22</f>
        <v/>
      </c>
    </row>
    <row r="27">
      <c r="A27" s="16" t="inlineStr">
        <is>
          <t>Price impact calculation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B28" s="12" t="n"/>
      <c r="C28" s="12" t="n"/>
      <c r="D28" s="12" t="n"/>
      <c r="E28" s="1" t="n"/>
      <c r="F28" s="1" t="n">
        <v>2020</v>
      </c>
      <c r="G28" s="1" t="n">
        <v>2030</v>
      </c>
      <c r="H28" s="1" t="n">
        <v>2040</v>
      </c>
      <c r="I28" s="1" t="n">
        <v>2050</v>
      </c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</row>
    <row r="29">
      <c r="A29" s="1" t="inlineStr">
        <is>
          <t>today's distribution tariff</t>
        </is>
      </c>
      <c r="B29" s="11" t="n">
        <v>53</v>
      </c>
      <c r="C29" s="12" t="inlineStr">
        <is>
          <t>EUR/MWh</t>
        </is>
      </c>
      <c r="D29" s="12" t="n"/>
      <c r="E29" s="12" t="inlineStr">
        <is>
          <t>TWh</t>
        </is>
      </c>
      <c r="F29" s="11" t="n">
        <v>2589.565211</v>
      </c>
      <c r="G29" s="11" t="n">
        <v>3721.757619053877</v>
      </c>
      <c r="H29" s="11" t="n">
        <v>4188.002759515592</v>
      </c>
      <c r="I29" s="11" t="n">
        <v>4629.943959174688</v>
      </c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</row>
    <row r="30">
      <c r="A30" s="1" t="inlineStr">
        <is>
          <t>2020 elec consumption</t>
        </is>
      </c>
      <c r="B30" s="2" t="n">
        <v>2590</v>
      </c>
      <c r="C30" t="inlineStr">
        <is>
          <t>TWh</t>
        </is>
      </c>
      <c r="E30" t="inlineStr">
        <is>
          <t>TWh DSO</t>
        </is>
      </c>
      <c r="F30" s="11">
        <f>F29*$B$31</f>
        <v/>
      </c>
      <c r="G30" s="11">
        <f>G29*$B$31</f>
        <v/>
      </c>
      <c r="H30" s="11">
        <f>H29*$B$31</f>
        <v/>
      </c>
      <c r="I30" s="11">
        <f>I29*$B$31</f>
        <v/>
      </c>
    </row>
    <row r="31">
      <c r="A31" s="1" t="inlineStr">
        <is>
          <t>Assumption DSO share consumption</t>
        </is>
      </c>
      <c r="B31" s="2" t="n">
        <v>0.8</v>
      </c>
      <c r="E31" t="inlineStr">
        <is>
          <t>Ratio Consumption</t>
        </is>
      </c>
      <c r="F31" s="21">
        <f>F30/$F30</f>
        <v/>
      </c>
      <c r="G31" s="21">
        <f>G30/$F30</f>
        <v/>
      </c>
      <c r="H31" s="21">
        <f>H30/$F30</f>
        <v/>
      </c>
      <c r="I31" s="21">
        <f>I30/$F30</f>
        <v/>
      </c>
    </row>
    <row r="32">
      <c r="A32" s="1" t="inlineStr">
        <is>
          <t>Estimated DSO revenue</t>
        </is>
      </c>
      <c r="B32" s="14">
        <f>B30*B31*10^6*B29*10^-9</f>
        <v/>
      </c>
      <c r="C32" t="inlineStr">
        <is>
          <t>billion EUR</t>
        </is>
      </c>
      <c r="E32" s="12" t="inlineStr">
        <is>
          <t>Ratio revenue</t>
        </is>
      </c>
      <c r="F32" s="13">
        <f>B23</f>
        <v/>
      </c>
      <c r="G32" s="13">
        <f>L23</f>
        <v/>
      </c>
      <c r="H32" s="13">
        <f>V23</f>
        <v/>
      </c>
      <c r="I32" s="13">
        <f>AF23</f>
        <v/>
      </c>
    </row>
    <row r="33">
      <c r="A33" s="19" t="inlineStr">
        <is>
          <t>Check error against Max Allowable Revenue from revenue model</t>
        </is>
      </c>
      <c r="B33" s="20">
        <f>(B32-B22)/B32</f>
        <v/>
      </c>
      <c r="E33" t="inlineStr">
        <is>
          <t>revenue</t>
        </is>
      </c>
      <c r="F33" s="14">
        <f>B32</f>
        <v/>
      </c>
      <c r="G33" s="14">
        <f>$F33*G32</f>
        <v/>
      </c>
      <c r="H33" s="14">
        <f>$F33*H32</f>
        <v/>
      </c>
      <c r="I33" s="14">
        <f>$F33*I32</f>
        <v/>
      </c>
    </row>
    <row r="34">
      <c r="E34" t="inlineStr">
        <is>
          <t>distribution charges (EUR/MWh)</t>
        </is>
      </c>
      <c r="F34" s="14">
        <f>F33*1000/F30</f>
        <v/>
      </c>
      <c r="G34" s="14">
        <f>G33*1000/G30</f>
        <v/>
      </c>
      <c r="H34" s="14">
        <f>H33*1000/H30</f>
        <v/>
      </c>
      <c r="I34" s="14">
        <f>I33*1000/I30</f>
        <v/>
      </c>
    </row>
    <row r="36">
      <c r="A36" t="inlineStr">
        <is>
          <t>Verbal Input on share of distribution consumption in national total</t>
        </is>
      </c>
      <c r="B36" t="inlineStr">
        <is>
          <t>France</t>
        </is>
      </c>
      <c r="C36" t="inlineStr">
        <is>
          <t>Italy</t>
        </is>
      </c>
      <c r="F36" s="1" t="n">
        <v>2018</v>
      </c>
      <c r="G36" s="1" t="n">
        <v>2030</v>
      </c>
      <c r="H36" s="1" t="n">
        <v>2040</v>
      </c>
      <c r="I36" s="1" t="n">
        <v>2050</v>
      </c>
    </row>
    <row r="37">
      <c r="A37" t="inlineStr">
        <is>
          <t xml:space="preserve">Share of electricity </t>
        </is>
      </c>
      <c r="B37" t="n">
        <v>80</v>
      </c>
      <c r="C37" t="n">
        <v>80</v>
      </c>
    </row>
    <row r="39">
      <c r="A39" t="inlineStr">
        <is>
          <t>Eurostat - T&amp;D tariff</t>
        </is>
      </c>
      <c r="B39" t="n">
        <v>66</v>
      </c>
      <c r="C39" t="n">
        <v>2022</v>
      </c>
      <c r="I39">
        <f>32*3.3</f>
        <v/>
      </c>
    </row>
    <row r="40">
      <c r="I40">
        <f>129+105</f>
        <v/>
      </c>
    </row>
    <row r="41">
      <c r="B41" s="18" t="n"/>
      <c r="I41">
        <f>I40/3.7</f>
        <v/>
      </c>
    </row>
    <row r="45">
      <c r="F45" t="n">
        <v>1.82</v>
      </c>
    </row>
    <row r="46">
      <c r="F46">
        <f>4630/2590</f>
        <v/>
      </c>
    </row>
    <row r="47">
      <c r="F47">
        <f>1.82/1.7876</f>
        <v/>
      </c>
    </row>
    <row r="48">
      <c r="F48">
        <f>54/53</f>
        <v/>
      </c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8"/>
  <sheetViews>
    <sheetView topLeftCell="A3" zoomScale="70" zoomScaleNormal="70" workbookViewId="0">
      <selection activeCell="AF23" sqref="AF23"/>
    </sheetView>
  </sheetViews>
  <sheetFormatPr baseColWidth="8" defaultRowHeight="14.5"/>
  <cols>
    <col width="39.1796875" customWidth="1" min="1" max="1"/>
    <col width="11.81640625" bestFit="1" customWidth="1" min="2" max="2"/>
  </cols>
  <sheetData>
    <row r="1">
      <c r="B1" s="2" t="inlineStr">
        <is>
          <t>INPUT</t>
        </is>
      </c>
    </row>
    <row r="2">
      <c r="B2" s="3" t="inlineStr">
        <is>
          <t>CALC</t>
        </is>
      </c>
    </row>
    <row r="4">
      <c r="A4" s="16" t="inlineStr">
        <is>
          <t>Simplified model of DSO allowable revenue for Europe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6">
      <c r="A6" t="inlineStr">
        <is>
          <t>Max allowable revenue</t>
        </is>
      </c>
      <c r="B6" t="inlineStr">
        <is>
          <t>(RAB*WACC)+Depreciation+ OPEX</t>
        </is>
      </c>
    </row>
    <row r="8">
      <c r="A8" s="1" t="inlineStr">
        <is>
          <t>WACC</t>
        </is>
      </c>
      <c r="B8" s="6" t="n">
        <v>0.054</v>
      </c>
    </row>
    <row r="9">
      <c r="A9" s="1" t="inlineStr">
        <is>
          <t>Average Asset Lifetime</t>
        </is>
      </c>
      <c r="B9" s="2" t="n">
        <v>42</v>
      </c>
      <c r="E9" t="inlineStr">
        <is>
          <t>Verbal Input on Share of CAPEX in allowance revenue</t>
        </is>
      </c>
    </row>
    <row r="10">
      <c r="A10" s="1" t="inlineStr">
        <is>
          <t>Depreciation rate</t>
        </is>
      </c>
      <c r="B10" s="7">
        <f>1/B9</f>
        <v/>
      </c>
      <c r="E10" t="inlineStr">
        <is>
          <t>Germany</t>
        </is>
      </c>
      <c r="F10" t="inlineStr">
        <is>
          <t>Italy</t>
        </is>
      </c>
      <c r="G10" t="inlineStr">
        <is>
          <t>Ireland</t>
        </is>
      </c>
      <c r="H10" t="inlineStr">
        <is>
          <t>Portugal</t>
        </is>
      </c>
    </row>
    <row r="11">
      <c r="A11" s="1" t="inlineStr">
        <is>
          <t>Share of CAPEX in allowable revenue</t>
        </is>
      </c>
      <c r="B11" s="10" t="n">
        <v>0.5</v>
      </c>
      <c r="E11" t="n">
        <v>40</v>
      </c>
      <c r="F11" t="n">
        <v>66</v>
      </c>
      <c r="G11" t="n">
        <v>80</v>
      </c>
      <c r="H11" t="n">
        <v>40</v>
      </c>
    </row>
    <row r="12">
      <c r="A12" s="1" t="inlineStr">
        <is>
          <t>OPEX Growth</t>
        </is>
      </c>
      <c r="B12" s="10" t="n">
        <v>0.01</v>
      </c>
    </row>
    <row r="13">
      <c r="A13" s="1" t="inlineStr">
        <is>
          <t>Starting RAB Europe</t>
        </is>
      </c>
      <c r="B13" s="2" t="n">
        <v>700</v>
      </c>
      <c r="C13" t="inlineStr">
        <is>
          <t>B EUR</t>
        </is>
      </c>
    </row>
    <row r="15">
      <c r="A15" s="5" t="inlineStr">
        <is>
          <t>B EUR</t>
        </is>
      </c>
      <c r="B15" s="5" t="n">
        <v>2020</v>
      </c>
      <c r="C15" s="5" t="n">
        <v>2021</v>
      </c>
      <c r="D15" s="5" t="n">
        <v>2022</v>
      </c>
      <c r="E15" s="5" t="n">
        <v>2023</v>
      </c>
      <c r="F15" s="5" t="n">
        <v>2024</v>
      </c>
      <c r="G15" s="5" t="n">
        <v>2025</v>
      </c>
      <c r="H15" s="5" t="n">
        <v>2026</v>
      </c>
      <c r="I15" s="5" t="n">
        <v>2027</v>
      </c>
      <c r="J15" s="5" t="n">
        <v>2028</v>
      </c>
      <c r="K15" s="5" t="n">
        <v>2029</v>
      </c>
      <c r="L15" s="5" t="n">
        <v>2030</v>
      </c>
      <c r="M15" s="5" t="n">
        <v>2031</v>
      </c>
      <c r="N15" s="5" t="n">
        <v>2032</v>
      </c>
      <c r="O15" s="5" t="n">
        <v>2033</v>
      </c>
      <c r="P15" s="5" t="n">
        <v>2034</v>
      </c>
      <c r="Q15" s="5" t="n">
        <v>2035</v>
      </c>
      <c r="R15" s="5" t="n">
        <v>2036</v>
      </c>
      <c r="S15" s="5" t="n">
        <v>2037</v>
      </c>
      <c r="T15" s="5" t="n">
        <v>2038</v>
      </c>
      <c r="U15" s="5" t="n">
        <v>2039</v>
      </c>
      <c r="V15" s="5" t="n">
        <v>2040</v>
      </c>
      <c r="W15" s="5" t="n">
        <v>2041</v>
      </c>
      <c r="X15" s="5" t="n">
        <v>2042</v>
      </c>
      <c r="Y15" s="5" t="n">
        <v>2043</v>
      </c>
      <c r="Z15" s="5" t="n">
        <v>2044</v>
      </c>
      <c r="AA15" s="5" t="n">
        <v>2045</v>
      </c>
      <c r="AB15" s="5" t="n">
        <v>2046</v>
      </c>
      <c r="AC15" s="5" t="n">
        <v>2047</v>
      </c>
      <c r="AD15" s="5" t="n">
        <v>2048</v>
      </c>
      <c r="AE15" s="5" t="n">
        <v>2049</v>
      </c>
      <c r="AF15" s="5" t="n">
        <v>2050</v>
      </c>
      <c r="AG15" s="5" t="n">
        <v>2051</v>
      </c>
      <c r="AH15" s="5" t="n">
        <v>2052</v>
      </c>
      <c r="AI15" s="5" t="n">
        <v>2053</v>
      </c>
      <c r="AJ15" s="5" t="n">
        <v>2054</v>
      </c>
      <c r="AK15" s="5" t="n">
        <v>2055</v>
      </c>
      <c r="AL15" s="5" t="n">
        <v>2056</v>
      </c>
      <c r="AM15" s="5" t="n">
        <v>2057</v>
      </c>
      <c r="AN15" s="5" t="n">
        <v>2058</v>
      </c>
      <c r="AO15" s="5" t="n">
        <v>2059</v>
      </c>
      <c r="AP15" s="5" t="n">
        <v>2060</v>
      </c>
      <c r="AQ15" s="5" t="n">
        <v>2061</v>
      </c>
      <c r="AR15" s="5" t="n">
        <v>2062</v>
      </c>
      <c r="AS15" s="5" t="n">
        <v>2063</v>
      </c>
      <c r="AT15" s="5" t="n">
        <v>2064</v>
      </c>
      <c r="AU15" s="5" t="n">
        <v>2065</v>
      </c>
    </row>
    <row r="16">
      <c r="A16" s="5" t="inlineStr">
        <is>
          <t>Opening RAB</t>
        </is>
      </c>
      <c r="B16" s="3">
        <f>B13</f>
        <v/>
      </c>
      <c r="C16" s="4">
        <f>B19</f>
        <v/>
      </c>
      <c r="D16" s="4">
        <f>C19</f>
        <v/>
      </c>
      <c r="E16" s="4">
        <f>D19</f>
        <v/>
      </c>
      <c r="F16" s="4">
        <f>E19</f>
        <v/>
      </c>
      <c r="G16" s="4">
        <f>F19</f>
        <v/>
      </c>
      <c r="H16" s="4">
        <f>G19</f>
        <v/>
      </c>
      <c r="I16" s="4">
        <f>H19</f>
        <v/>
      </c>
      <c r="J16" s="4">
        <f>I19</f>
        <v/>
      </c>
      <c r="K16" s="4">
        <f>J19</f>
        <v/>
      </c>
      <c r="L16" s="4">
        <f>K19</f>
        <v/>
      </c>
      <c r="M16" s="4">
        <f>L19</f>
        <v/>
      </c>
      <c r="N16" s="4">
        <f>M19</f>
        <v/>
      </c>
      <c r="O16" s="4">
        <f>N19</f>
        <v/>
      </c>
      <c r="P16" s="4">
        <f>O19</f>
        <v/>
      </c>
      <c r="Q16" s="4">
        <f>P19</f>
        <v/>
      </c>
      <c r="R16" s="4">
        <f>Q19</f>
        <v/>
      </c>
      <c r="S16" s="4">
        <f>R19</f>
        <v/>
      </c>
      <c r="T16" s="4">
        <f>S19</f>
        <v/>
      </c>
      <c r="U16" s="4">
        <f>T19</f>
        <v/>
      </c>
      <c r="V16" s="4">
        <f>U19</f>
        <v/>
      </c>
      <c r="W16" s="4">
        <f>V19</f>
        <v/>
      </c>
      <c r="X16" s="4">
        <f>W19</f>
        <v/>
      </c>
      <c r="Y16" s="4">
        <f>X19</f>
        <v/>
      </c>
      <c r="Z16" s="4">
        <f>Y19</f>
        <v/>
      </c>
      <c r="AA16" s="4">
        <f>Z19</f>
        <v/>
      </c>
      <c r="AB16" s="4">
        <f>AA19</f>
        <v/>
      </c>
      <c r="AC16" s="4">
        <f>AB19</f>
        <v/>
      </c>
      <c r="AD16" s="4">
        <f>AC19</f>
        <v/>
      </c>
      <c r="AE16" s="4">
        <f>AD19</f>
        <v/>
      </c>
      <c r="AF16" s="4">
        <f>AE19</f>
        <v/>
      </c>
      <c r="AG16" s="4">
        <f>AF19</f>
        <v/>
      </c>
      <c r="AH16" s="4">
        <f>AG19</f>
        <v/>
      </c>
      <c r="AI16" s="4">
        <f>AH19</f>
        <v/>
      </c>
      <c r="AJ16" s="4">
        <f>AI19</f>
        <v/>
      </c>
      <c r="AK16" s="4">
        <f>AJ19</f>
        <v/>
      </c>
      <c r="AL16" s="4">
        <f>AK19</f>
        <v/>
      </c>
      <c r="AM16" s="4">
        <f>AL19</f>
        <v/>
      </c>
      <c r="AN16" s="4">
        <f>AM19</f>
        <v/>
      </c>
      <c r="AO16" s="4">
        <f>AN19</f>
        <v/>
      </c>
      <c r="AP16" s="4">
        <f>AO19</f>
        <v/>
      </c>
      <c r="AQ16" s="4">
        <f>AP19</f>
        <v/>
      </c>
      <c r="AR16" s="4">
        <f>AQ19</f>
        <v/>
      </c>
      <c r="AS16" s="4">
        <f>AR19</f>
        <v/>
      </c>
      <c r="AT16" s="4">
        <f>AS19</f>
        <v/>
      </c>
      <c r="AU16" s="4">
        <f>AT19</f>
        <v/>
      </c>
    </row>
    <row r="17">
      <c r="A17" s="5" t="inlineStr">
        <is>
          <t>CAPEX addition</t>
        </is>
      </c>
      <c r="B17" s="2" t="n">
        <v>29</v>
      </c>
      <c r="C17" s="2" t="n">
        <v>32</v>
      </c>
      <c r="D17" s="2" t="n">
        <v>35</v>
      </c>
      <c r="E17" s="2" t="n">
        <v>36</v>
      </c>
      <c r="F17" s="2" t="n">
        <v>40</v>
      </c>
      <c r="G17" s="2" t="n">
        <v>60</v>
      </c>
      <c r="H17" s="2" t="n">
        <v>72</v>
      </c>
      <c r="I17" s="2" t="n">
        <v>72</v>
      </c>
      <c r="J17" s="2" t="n">
        <v>72</v>
      </c>
      <c r="K17" s="2" t="n">
        <v>72</v>
      </c>
      <c r="L17" s="2" t="n">
        <v>72</v>
      </c>
      <c r="M17" s="2" t="n">
        <v>72</v>
      </c>
      <c r="N17" s="2" t="n">
        <v>72</v>
      </c>
      <c r="O17" s="2" t="n">
        <v>72</v>
      </c>
      <c r="P17" s="2" t="n">
        <v>72</v>
      </c>
      <c r="Q17" s="2" t="n">
        <v>72</v>
      </c>
      <c r="R17" s="2" t="n">
        <v>72</v>
      </c>
      <c r="S17" s="2" t="n">
        <v>72</v>
      </c>
      <c r="T17" s="2" t="n">
        <v>72</v>
      </c>
      <c r="U17" s="2" t="n">
        <v>72</v>
      </c>
      <c r="V17" s="2" t="n">
        <v>72</v>
      </c>
      <c r="W17" s="2" t="n">
        <v>60</v>
      </c>
      <c r="X17" s="2" t="n">
        <v>60</v>
      </c>
      <c r="Y17" s="2" t="n">
        <v>60</v>
      </c>
      <c r="Z17" s="2" t="n">
        <v>60</v>
      </c>
      <c r="AA17" s="2" t="n">
        <v>60</v>
      </c>
      <c r="AB17" s="2" t="n">
        <v>60</v>
      </c>
      <c r="AC17" s="2" t="n">
        <v>60</v>
      </c>
      <c r="AD17" s="2" t="n">
        <v>60</v>
      </c>
      <c r="AE17" s="2" t="n">
        <v>60</v>
      </c>
      <c r="AF17" s="2" t="n">
        <v>60</v>
      </c>
      <c r="AG17" s="2" t="n">
        <v>60</v>
      </c>
      <c r="AH17" s="2" t="n">
        <v>60</v>
      </c>
      <c r="AI17" s="2" t="n">
        <v>60</v>
      </c>
      <c r="AJ17" s="2" t="n">
        <v>60</v>
      </c>
      <c r="AK17" s="2" t="n">
        <v>60</v>
      </c>
      <c r="AL17" s="2" t="n">
        <v>60</v>
      </c>
      <c r="AM17" s="2" t="n">
        <v>60</v>
      </c>
      <c r="AN17" s="2" t="n">
        <v>60</v>
      </c>
      <c r="AO17" s="2" t="n">
        <v>60</v>
      </c>
      <c r="AP17" s="2" t="n">
        <v>60</v>
      </c>
      <c r="AQ17" s="2" t="n">
        <v>60</v>
      </c>
      <c r="AR17" s="2" t="n">
        <v>60</v>
      </c>
      <c r="AS17" s="2" t="n">
        <v>60</v>
      </c>
      <c r="AT17" s="2" t="n">
        <v>60</v>
      </c>
      <c r="AU17" s="2" t="n">
        <v>60</v>
      </c>
    </row>
    <row r="18">
      <c r="A18" s="5" t="inlineStr">
        <is>
          <t>Depreciation</t>
        </is>
      </c>
      <c r="B18" s="4">
        <f>((B16+B17)*$B10)</f>
        <v/>
      </c>
      <c r="C18" s="4">
        <f>((C16+C17)*$B10)</f>
        <v/>
      </c>
      <c r="D18" s="4">
        <f>((D16+D17)*$B10)</f>
        <v/>
      </c>
      <c r="E18" s="4">
        <f>((E16+E17)*$B10)</f>
        <v/>
      </c>
      <c r="F18" s="4">
        <f>((F16+F17)*$B10)</f>
        <v/>
      </c>
      <c r="G18" s="4">
        <f>((G16+G17)*$B10)</f>
        <v/>
      </c>
      <c r="H18" s="4">
        <f>((H16+H17)*$B10)</f>
        <v/>
      </c>
      <c r="I18" s="4">
        <f>((I16+I17)*$B10)</f>
        <v/>
      </c>
      <c r="J18" s="4">
        <f>((J16+J17)*$B10)</f>
        <v/>
      </c>
      <c r="K18" s="4">
        <f>((K16+K17)*$B10)</f>
        <v/>
      </c>
      <c r="L18" s="4">
        <f>((L16+L17)*$B10)</f>
        <v/>
      </c>
      <c r="M18" s="4">
        <f>((M16+M17)*$B10)</f>
        <v/>
      </c>
      <c r="N18" s="4">
        <f>((N16+N17)*$B10)</f>
        <v/>
      </c>
      <c r="O18" s="4">
        <f>((O16+O17)*$B10)</f>
        <v/>
      </c>
      <c r="P18" s="4">
        <f>((P16+P17)*$B10)</f>
        <v/>
      </c>
      <c r="Q18" s="4">
        <f>((Q16+Q17)*$B10)</f>
        <v/>
      </c>
      <c r="R18" s="4">
        <f>((R16+R17)*$B10)</f>
        <v/>
      </c>
      <c r="S18" s="4">
        <f>((S16+S17)*$B10)</f>
        <v/>
      </c>
      <c r="T18" s="4">
        <f>((T16+T17)*$B10)</f>
        <v/>
      </c>
      <c r="U18" s="4">
        <f>((U16+U17)*$B10)</f>
        <v/>
      </c>
      <c r="V18" s="4">
        <f>((V16+V17)*$B10)</f>
        <v/>
      </c>
      <c r="W18" s="4">
        <f>((W16+W17)*$B10)</f>
        <v/>
      </c>
      <c r="X18" s="4">
        <f>((X16+X17)*$B10)</f>
        <v/>
      </c>
      <c r="Y18" s="4">
        <f>((Y16+Y17)*$B10)</f>
        <v/>
      </c>
      <c r="Z18" s="4">
        <f>((Z16+Z17)*$B10)</f>
        <v/>
      </c>
      <c r="AA18" s="4">
        <f>((AA16+AA17)*$B10)</f>
        <v/>
      </c>
      <c r="AB18" s="4">
        <f>((AB16+AB17)*$B10)</f>
        <v/>
      </c>
      <c r="AC18" s="4">
        <f>((AC16+AC17)*$B10)</f>
        <v/>
      </c>
      <c r="AD18" s="4">
        <f>((AD16+AD17)*$B10)</f>
        <v/>
      </c>
      <c r="AE18" s="4">
        <f>((AE16+AE17)*$B10)</f>
        <v/>
      </c>
      <c r="AF18" s="4">
        <f>((AF16+AF17)*$B10)</f>
        <v/>
      </c>
      <c r="AG18" s="4">
        <f>((AG16+AG17)*$B10)</f>
        <v/>
      </c>
      <c r="AH18" s="4">
        <f>((AH16+AH17)*$B10)</f>
        <v/>
      </c>
      <c r="AI18" s="4">
        <f>((AI16+AI17)*$B10)</f>
        <v/>
      </c>
      <c r="AJ18" s="4">
        <f>((AJ16+AJ17)*$B10)</f>
        <v/>
      </c>
      <c r="AK18" s="4">
        <f>((AK16+AK17)*$B10)</f>
        <v/>
      </c>
      <c r="AL18" s="4">
        <f>((AL16+AL17)*$B10)</f>
        <v/>
      </c>
      <c r="AM18" s="4">
        <f>((AM16+AM17)*$B10)</f>
        <v/>
      </c>
      <c r="AN18" s="4">
        <f>((AN16+AN17)*$B10)</f>
        <v/>
      </c>
      <c r="AO18" s="4">
        <f>((AO16+AO17)*$B10)</f>
        <v/>
      </c>
      <c r="AP18" s="4">
        <f>((AP16+AP17)*$B10)</f>
        <v/>
      </c>
      <c r="AQ18" s="4">
        <f>((AQ16+AQ17)*$B10)</f>
        <v/>
      </c>
      <c r="AR18" s="4">
        <f>((AR16+AR17)*$B10)</f>
        <v/>
      </c>
      <c r="AS18" s="4">
        <f>((AS16+AS17)*$B10)</f>
        <v/>
      </c>
      <c r="AT18" s="4">
        <f>((AT16+AT17)*$B10)</f>
        <v/>
      </c>
      <c r="AU18" s="4">
        <f>((AU16+AU17)*$B10)</f>
        <v/>
      </c>
    </row>
    <row r="19">
      <c r="A19" s="5" t="inlineStr">
        <is>
          <t>New RAB</t>
        </is>
      </c>
      <c r="B19" s="4">
        <f>B16+B17-B18</f>
        <v/>
      </c>
      <c r="C19" s="4">
        <f>C16+C17-C18</f>
        <v/>
      </c>
      <c r="D19" s="4">
        <f>D16+D17-D18</f>
        <v/>
      </c>
      <c r="E19" s="4">
        <f>E16+E17-E18</f>
        <v/>
      </c>
      <c r="F19" s="4">
        <f>F16+F17-F18</f>
        <v/>
      </c>
      <c r="G19" s="4">
        <f>G16+G17-G18</f>
        <v/>
      </c>
      <c r="H19" s="4">
        <f>H16+H17-H18</f>
        <v/>
      </c>
      <c r="I19" s="4">
        <f>I16+I17-I18</f>
        <v/>
      </c>
      <c r="J19" s="4">
        <f>J16+J17-J18</f>
        <v/>
      </c>
      <c r="K19" s="4">
        <f>K16+K17-K18</f>
        <v/>
      </c>
      <c r="L19" s="4">
        <f>L16+L17-L18</f>
        <v/>
      </c>
      <c r="M19" s="4">
        <f>M16+M17-M18</f>
        <v/>
      </c>
      <c r="N19" s="4">
        <f>N16+N17-N18</f>
        <v/>
      </c>
      <c r="O19" s="4">
        <f>O16+O17-O18</f>
        <v/>
      </c>
      <c r="P19" s="4">
        <f>P16+P17-P18</f>
        <v/>
      </c>
      <c r="Q19" s="4">
        <f>Q16+Q17-Q18</f>
        <v/>
      </c>
      <c r="R19" s="4">
        <f>R16+R17-R18</f>
        <v/>
      </c>
      <c r="S19" s="4">
        <f>S16+S17-S18</f>
        <v/>
      </c>
      <c r="T19" s="4">
        <f>T16+T17-T18</f>
        <v/>
      </c>
      <c r="U19" s="4">
        <f>U16+U17-U18</f>
        <v/>
      </c>
      <c r="V19" s="4">
        <f>V16+V17-V18</f>
        <v/>
      </c>
      <c r="W19" s="4">
        <f>W16+W17-W18</f>
        <v/>
      </c>
      <c r="X19" s="4">
        <f>X16+X17-X18</f>
        <v/>
      </c>
      <c r="Y19" s="4">
        <f>Y16+Y17-Y18</f>
        <v/>
      </c>
      <c r="Z19" s="4">
        <f>Z16+Z17-Z18</f>
        <v/>
      </c>
      <c r="AA19" s="4">
        <f>AA16+AA17-AA18</f>
        <v/>
      </c>
      <c r="AB19" s="4">
        <f>AB16+AB17-AB18</f>
        <v/>
      </c>
      <c r="AC19" s="4">
        <f>AC16+AC17-AC18</f>
        <v/>
      </c>
      <c r="AD19" s="4">
        <f>AD16+AD17-AD18</f>
        <v/>
      </c>
      <c r="AE19" s="4">
        <f>AE16+AE17-AE18</f>
        <v/>
      </c>
      <c r="AF19" s="4">
        <f>AF16+AF17-AF18</f>
        <v/>
      </c>
      <c r="AG19" s="4">
        <f>AG16+AG17-AG18</f>
        <v/>
      </c>
      <c r="AH19" s="4">
        <f>AH16+AH17-AH18</f>
        <v/>
      </c>
      <c r="AI19" s="4">
        <f>AI16+AI17-AI18</f>
        <v/>
      </c>
      <c r="AJ19" s="4">
        <f>AJ16+AJ17-AJ18</f>
        <v/>
      </c>
      <c r="AK19" s="4">
        <f>AK16+AK17-AK18</f>
        <v/>
      </c>
      <c r="AL19" s="4">
        <f>AL16+AL17-AL18</f>
        <v/>
      </c>
      <c r="AM19" s="4">
        <f>AM16+AM17-AM18</f>
        <v/>
      </c>
      <c r="AN19" s="4">
        <f>AN16+AN17-AN18</f>
        <v/>
      </c>
      <c r="AO19" s="4">
        <f>AO16+AO17-AO18</f>
        <v/>
      </c>
      <c r="AP19" s="4">
        <f>AP16+AP17-AP18</f>
        <v/>
      </c>
      <c r="AQ19" s="4">
        <f>AQ16+AQ17-AQ18</f>
        <v/>
      </c>
      <c r="AR19" s="4">
        <f>AR16+AR17-AR18</f>
        <v/>
      </c>
      <c r="AS19" s="4">
        <f>AS16+AS17-AS18</f>
        <v/>
      </c>
      <c r="AT19" s="4">
        <f>AT16+AT17-AT18</f>
        <v/>
      </c>
      <c r="AU19" s="4">
        <f>AU16+AU17-AU18</f>
        <v/>
      </c>
    </row>
    <row r="20">
      <c r="A20" s="5" t="inlineStr">
        <is>
          <t>Max allowable Revenue CAPEX</t>
        </is>
      </c>
      <c r="B20" s="4">
        <f>(B16+B17)*$B8+B18</f>
        <v/>
      </c>
      <c r="C20" s="4">
        <f>(C16+C17)*$B8+C18</f>
        <v/>
      </c>
      <c r="D20" s="4">
        <f>(D16+D17)*$B8+D18</f>
        <v/>
      </c>
      <c r="E20" s="4">
        <f>(E16+E17)*$B8+E18</f>
        <v/>
      </c>
      <c r="F20" s="4">
        <f>(F16+F17)*$B8+F18</f>
        <v/>
      </c>
      <c r="G20" s="4">
        <f>(G16+G17)*$B8+G18</f>
        <v/>
      </c>
      <c r="H20" s="4">
        <f>(H16+H17)*$B8+H18</f>
        <v/>
      </c>
      <c r="I20" s="4">
        <f>(I16+I17)*$B8+I18</f>
        <v/>
      </c>
      <c r="J20" s="4">
        <f>(J16+J17)*$B8+J18</f>
        <v/>
      </c>
      <c r="K20" s="4">
        <f>(K16+K17)*$B8+K18</f>
        <v/>
      </c>
      <c r="L20" s="4">
        <f>(L16+L17)*$B8+L18</f>
        <v/>
      </c>
      <c r="M20" s="4">
        <f>(M16+M17)*$B8+M18</f>
        <v/>
      </c>
      <c r="N20" s="4">
        <f>(N16+N17)*$B8+N18</f>
        <v/>
      </c>
      <c r="O20" s="4">
        <f>(O16+O17)*$B8+O18</f>
        <v/>
      </c>
      <c r="P20" s="4">
        <f>(P16+P17)*$B8+P18</f>
        <v/>
      </c>
      <c r="Q20" s="4">
        <f>(Q16+Q17)*$B8+Q18</f>
        <v/>
      </c>
      <c r="R20" s="4">
        <f>(R16+R17)*$B8+R18</f>
        <v/>
      </c>
      <c r="S20" s="4">
        <f>(S16+S17)*$B8+S18</f>
        <v/>
      </c>
      <c r="T20" s="4">
        <f>(T16+T17)*$B8+T18</f>
        <v/>
      </c>
      <c r="U20" s="4">
        <f>(U16+U17)*$B8+U18</f>
        <v/>
      </c>
      <c r="V20" s="4">
        <f>(V16+V17)*$B8+V18</f>
        <v/>
      </c>
      <c r="W20" s="4">
        <f>(W16+W17)*$B8+W18</f>
        <v/>
      </c>
      <c r="X20" s="4">
        <f>(X16+X17)*$B8+X18</f>
        <v/>
      </c>
      <c r="Y20" s="4">
        <f>(Y16+Y17)*$B8+Y18</f>
        <v/>
      </c>
      <c r="Z20" s="4">
        <f>(Z16+Z17)*$B8+Z18</f>
        <v/>
      </c>
      <c r="AA20" s="4">
        <f>(AA16+AA17)*$B8+AA18</f>
        <v/>
      </c>
      <c r="AB20" s="4">
        <f>(AB16+AB17)*$B8+AB18</f>
        <v/>
      </c>
      <c r="AC20" s="4">
        <f>(AC16+AC17)*$B8+AC18</f>
        <v/>
      </c>
      <c r="AD20" s="4">
        <f>(AD16+AD17)*$B8+AD18</f>
        <v/>
      </c>
      <c r="AE20" s="4">
        <f>(AE16+AE17)*$B8+AE18</f>
        <v/>
      </c>
      <c r="AF20" s="4">
        <f>(AF16+AF17)*$B8+AF18</f>
        <v/>
      </c>
      <c r="AG20" s="4">
        <f>(AG16+AG17)*$B8+AG18</f>
        <v/>
      </c>
      <c r="AH20" s="4">
        <f>(AH16+AH17)*$B8+AH18</f>
        <v/>
      </c>
      <c r="AI20" s="4">
        <f>(AI16+AI17)*$B8+AI18</f>
        <v/>
      </c>
      <c r="AJ20" s="4">
        <f>(AJ16+AJ17)*$B8+AJ18</f>
        <v/>
      </c>
      <c r="AK20" s="4">
        <f>(AK16+AK17)*$B8+AK18</f>
        <v/>
      </c>
      <c r="AL20" s="4">
        <f>(AL16+AL17)*$B8+AL18</f>
        <v/>
      </c>
      <c r="AM20" s="4">
        <f>(AM16+AM17)*$B8+AM18</f>
        <v/>
      </c>
      <c r="AN20" s="4">
        <f>(AN16+AN17)*$B8+AN18</f>
        <v/>
      </c>
      <c r="AO20" s="4">
        <f>(AO16+AO17)*$B8+AO18</f>
        <v/>
      </c>
      <c r="AP20" s="4">
        <f>(AP16+AP17)*$B8+AP18</f>
        <v/>
      </c>
      <c r="AQ20" s="4">
        <f>(AQ16+AQ17)*$B8+AQ18</f>
        <v/>
      </c>
      <c r="AR20" s="4">
        <f>(AR16+AR17)*$B8+AR18</f>
        <v/>
      </c>
      <c r="AS20" s="4">
        <f>(AS16+AS17)*$B8+AS18</f>
        <v/>
      </c>
      <c r="AT20" s="4">
        <f>(AT16+AT17)*$B8+AT18</f>
        <v/>
      </c>
      <c r="AU20" s="4">
        <f>(AU16+AU17)*$B8+AU18</f>
        <v/>
      </c>
    </row>
    <row r="21">
      <c r="A21" s="5" t="inlineStr">
        <is>
          <t>OPEX</t>
        </is>
      </c>
      <c r="B21" s="11">
        <f>B20*(1/B11-1)</f>
        <v/>
      </c>
      <c r="C21" s="4">
        <f>$B21*(1+$B$12)^(C15-$B15)</f>
        <v/>
      </c>
      <c r="D21" s="4">
        <f>$B21*(1+$B$12)^(D15-$B15)</f>
        <v/>
      </c>
      <c r="E21" s="4">
        <f>$B21*(1+$B$12)^(E15-$B15)</f>
        <v/>
      </c>
      <c r="F21" s="4">
        <f>$B21*(1+$B$12)^(F15-$B15)</f>
        <v/>
      </c>
      <c r="G21" s="4">
        <f>$B21*(1+$B$12)^(G15-$B15)</f>
        <v/>
      </c>
      <c r="H21" s="4">
        <f>$B21*(1+$B$12)^(H15-$B15)</f>
        <v/>
      </c>
      <c r="I21" s="4">
        <f>$B21*(1+$B$12)^(I15-$B15)</f>
        <v/>
      </c>
      <c r="J21" s="4">
        <f>$B21*(1+$B$12)^(J15-$B15)</f>
        <v/>
      </c>
      <c r="K21" s="4">
        <f>$B21*(1+$B$12)^(K15-$B15)</f>
        <v/>
      </c>
      <c r="L21" s="4">
        <f>$B21*(1+$B$12)^(L15-$B15)</f>
        <v/>
      </c>
      <c r="M21" s="4">
        <f>$B21*(1+$B$12)^(M15-$B15)</f>
        <v/>
      </c>
      <c r="N21" s="4">
        <f>$B21*(1+$B$12)^(N15-$B15)</f>
        <v/>
      </c>
      <c r="O21" s="4">
        <f>$B21*(1+$B$12)^(O15-$B15)</f>
        <v/>
      </c>
      <c r="P21" s="4">
        <f>$B21*(1+$B$12)^(P15-$B15)</f>
        <v/>
      </c>
      <c r="Q21" s="4">
        <f>$B21*(1+$B$12)^(Q15-$B15)</f>
        <v/>
      </c>
      <c r="R21" s="4">
        <f>$B21*(1+$B$12)^(R15-$B15)</f>
        <v/>
      </c>
      <c r="S21" s="4">
        <f>$B21*(1+$B$12)^(S15-$B15)</f>
        <v/>
      </c>
      <c r="T21" s="4">
        <f>$B21*(1+$B$12)^(T15-$B15)</f>
        <v/>
      </c>
      <c r="U21" s="4">
        <f>$B21*(1+$B$12)^(U15-$B15)</f>
        <v/>
      </c>
      <c r="V21" s="4">
        <f>$B21*(1+$B$12)^(V15-$B15)</f>
        <v/>
      </c>
      <c r="W21" s="4">
        <f>$B21*(1+$B$12)^(W15-$B15)</f>
        <v/>
      </c>
      <c r="X21" s="4">
        <f>$B21*(1+$B$12)^(X15-$B15)</f>
        <v/>
      </c>
      <c r="Y21" s="4">
        <f>$B21*(1+$B$12)^(Y15-$B15)</f>
        <v/>
      </c>
      <c r="Z21" s="4">
        <f>$B21*(1+$B$12)^(Z15-$B15)</f>
        <v/>
      </c>
      <c r="AA21" s="4">
        <f>$B21*(1+$B$12)^(AA15-$B15)</f>
        <v/>
      </c>
      <c r="AB21" s="4">
        <f>$B21*(1+$B$12)^(AB15-$B15)</f>
        <v/>
      </c>
      <c r="AC21" s="4">
        <f>$B21*(1+$B$12)^(AC15-$B15)</f>
        <v/>
      </c>
      <c r="AD21" s="4">
        <f>$B21*(1+$B$12)^(AD15-$B15)</f>
        <v/>
      </c>
      <c r="AE21" s="4">
        <f>$B21*(1+$B$12)^(AE15-$B15)</f>
        <v/>
      </c>
      <c r="AF21" s="4">
        <f>$B21*(1+$B$12)^(AF15-$B15)</f>
        <v/>
      </c>
      <c r="AG21" s="4">
        <f>$B21*(1+$B$12)^(AG15-$B15)</f>
        <v/>
      </c>
      <c r="AH21" s="4">
        <f>$B21*(1+$B$12)^(AH15-$B15)</f>
        <v/>
      </c>
      <c r="AI21" s="4">
        <f>$B21*(1+$B$12)^(AI15-$B15)</f>
        <v/>
      </c>
      <c r="AJ21" s="4">
        <f>$B21*(1+$B$12)^(AJ15-$B15)</f>
        <v/>
      </c>
      <c r="AK21" s="4">
        <f>$B21*(1+$B$12)^(AK15-$B15)</f>
        <v/>
      </c>
      <c r="AL21" s="4">
        <f>$B21*(1+$B$12)^(AL15-$B15)</f>
        <v/>
      </c>
      <c r="AM21" s="4">
        <f>$B21*(1+$B$12)^(AM15-$B15)</f>
        <v/>
      </c>
      <c r="AN21" s="4">
        <f>$B21*(1+$B$12)^(AN15-$B15)</f>
        <v/>
      </c>
      <c r="AO21" s="4">
        <f>$B21*(1+$B$12)^(AO15-$B15)</f>
        <v/>
      </c>
      <c r="AP21" s="4">
        <f>$B21*(1+$B$12)^(AP15-$B15)</f>
        <v/>
      </c>
      <c r="AQ21" s="4">
        <f>$B21*(1+$B$12)^(AQ15-$B15)</f>
        <v/>
      </c>
      <c r="AR21" s="4">
        <f>$B21*(1+$B$12)^(AR15-$B15)</f>
        <v/>
      </c>
      <c r="AS21" s="4">
        <f>$B21*(1+$B$12)^(AS15-$B15)</f>
        <v/>
      </c>
      <c r="AT21" s="4">
        <f>$B21*(1+$B$12)^(AT15-$B15)</f>
        <v/>
      </c>
      <c r="AU21" s="4">
        <f>$B21*(1+$B$12)^(AU15-$B15)</f>
        <v/>
      </c>
    </row>
    <row r="22">
      <c r="A22" s="5" t="inlineStr">
        <is>
          <t>Max allowable Revenue</t>
        </is>
      </c>
      <c r="B22" s="4">
        <f>B20+B21</f>
        <v/>
      </c>
      <c r="C22" s="4">
        <f>C20+C21</f>
        <v/>
      </c>
      <c r="D22" s="4">
        <f>D20+D21</f>
        <v/>
      </c>
      <c r="E22" s="4">
        <f>E20+E21</f>
        <v/>
      </c>
      <c r="F22" s="4">
        <f>F20+F21</f>
        <v/>
      </c>
      <c r="G22" s="4">
        <f>G20+G21</f>
        <v/>
      </c>
      <c r="H22" s="4">
        <f>H20+H21</f>
        <v/>
      </c>
      <c r="I22" s="4">
        <f>I20+I21</f>
        <v/>
      </c>
      <c r="J22" s="4">
        <f>J20+J21</f>
        <v/>
      </c>
      <c r="K22" s="4">
        <f>K20+K21</f>
        <v/>
      </c>
      <c r="L22" s="4">
        <f>L20+L21</f>
        <v/>
      </c>
      <c r="M22" s="4">
        <f>M20+M21</f>
        <v/>
      </c>
      <c r="N22" s="4">
        <f>N20+N21</f>
        <v/>
      </c>
      <c r="O22" s="4">
        <f>O20+O21</f>
        <v/>
      </c>
      <c r="P22" s="4">
        <f>P20+P21</f>
        <v/>
      </c>
      <c r="Q22" s="4">
        <f>Q20+Q21</f>
        <v/>
      </c>
      <c r="R22" s="4">
        <f>R20+R21</f>
        <v/>
      </c>
      <c r="S22" s="4">
        <f>S20+S21</f>
        <v/>
      </c>
      <c r="T22" s="4">
        <f>T20+T21</f>
        <v/>
      </c>
      <c r="U22" s="4">
        <f>U20+U21</f>
        <v/>
      </c>
      <c r="V22" s="4">
        <f>V20+V21</f>
        <v/>
      </c>
      <c r="W22" s="4">
        <f>W20+W21</f>
        <v/>
      </c>
      <c r="X22" s="4">
        <f>X20+X21</f>
        <v/>
      </c>
      <c r="Y22" s="4">
        <f>Y20+Y21</f>
        <v/>
      </c>
      <c r="Z22" s="4">
        <f>Z20+Z21</f>
        <v/>
      </c>
      <c r="AA22" s="4">
        <f>AA20+AA21</f>
        <v/>
      </c>
      <c r="AB22" s="4">
        <f>AB20+AB21</f>
        <v/>
      </c>
      <c r="AC22" s="4">
        <f>AC20+AC21</f>
        <v/>
      </c>
      <c r="AD22" s="4">
        <f>AD20+AD21</f>
        <v/>
      </c>
      <c r="AE22" s="4">
        <f>AE20+AE21</f>
        <v/>
      </c>
      <c r="AF22" s="4">
        <f>AF20+AF21</f>
        <v/>
      </c>
      <c r="AG22" s="4">
        <f>AG20+AG21</f>
        <v/>
      </c>
      <c r="AH22" s="4">
        <f>AH20+AH21</f>
        <v/>
      </c>
      <c r="AI22" s="4">
        <f>AI20+AI21</f>
        <v/>
      </c>
      <c r="AJ22" s="4">
        <f>AJ20+AJ21</f>
        <v/>
      </c>
      <c r="AK22" s="4">
        <f>AK20+AK21</f>
        <v/>
      </c>
      <c r="AL22" s="4">
        <f>AL20+AL21</f>
        <v/>
      </c>
      <c r="AM22" s="4">
        <f>AM20+AM21</f>
        <v/>
      </c>
      <c r="AN22" s="4">
        <f>AN20+AN21</f>
        <v/>
      </c>
      <c r="AO22" s="4">
        <f>AO20+AO21</f>
        <v/>
      </c>
      <c r="AP22" s="4">
        <f>AP20+AP21</f>
        <v/>
      </c>
      <c r="AQ22" s="4">
        <f>AQ20+AQ21</f>
        <v/>
      </c>
      <c r="AR22" s="4">
        <f>AR20+AR21</f>
        <v/>
      </c>
      <c r="AS22" s="4">
        <f>AS20+AS21</f>
        <v/>
      </c>
      <c r="AT22" s="4">
        <f>AT20+AT21</f>
        <v/>
      </c>
      <c r="AU22" s="4">
        <f>AU20+AU21</f>
        <v/>
      </c>
    </row>
    <row r="23">
      <c r="A23" s="8" t="inlineStr">
        <is>
          <t>Ratio tariff impact (normalised to 2020)</t>
        </is>
      </c>
      <c r="B23" s="9">
        <f>B22/$B22</f>
        <v/>
      </c>
      <c r="C23" s="9">
        <f>C22/$B22</f>
        <v/>
      </c>
      <c r="D23" s="9">
        <f>D22/$B22</f>
        <v/>
      </c>
      <c r="E23" s="9">
        <f>E22/$B22</f>
        <v/>
      </c>
      <c r="F23" s="9">
        <f>F22/$B22</f>
        <v/>
      </c>
      <c r="G23" s="9">
        <f>G22/$B22</f>
        <v/>
      </c>
      <c r="H23" s="9">
        <f>H22/$B22</f>
        <v/>
      </c>
      <c r="I23" s="9">
        <f>I22/$B22</f>
        <v/>
      </c>
      <c r="J23" s="9">
        <f>J22/$B22</f>
        <v/>
      </c>
      <c r="K23" s="9">
        <f>K22/$B22</f>
        <v/>
      </c>
      <c r="L23" s="9">
        <f>L22/$B22</f>
        <v/>
      </c>
      <c r="M23" s="9">
        <f>M22/$B22</f>
        <v/>
      </c>
      <c r="N23" s="9">
        <f>N22/$B22</f>
        <v/>
      </c>
      <c r="O23" s="9">
        <f>O22/$B22</f>
        <v/>
      </c>
      <c r="P23" s="9">
        <f>P22/$B22</f>
        <v/>
      </c>
      <c r="Q23" s="9">
        <f>Q22/$B22</f>
        <v/>
      </c>
      <c r="R23" s="9">
        <f>R22/$B22</f>
        <v/>
      </c>
      <c r="S23" s="9">
        <f>S22/$B22</f>
        <v/>
      </c>
      <c r="T23" s="9">
        <f>T22/$B22</f>
        <v/>
      </c>
      <c r="U23" s="9">
        <f>U22/$B22</f>
        <v/>
      </c>
      <c r="V23" s="9">
        <f>V22/$B22</f>
        <v/>
      </c>
      <c r="W23" s="9">
        <f>W22/$B22</f>
        <v/>
      </c>
      <c r="X23" s="9">
        <f>X22/$B22</f>
        <v/>
      </c>
      <c r="Y23" s="9">
        <f>Y22/$B22</f>
        <v/>
      </c>
      <c r="Z23" s="9">
        <f>Z22/$B22</f>
        <v/>
      </c>
      <c r="AA23" s="9">
        <f>AA22/$B22</f>
        <v/>
      </c>
      <c r="AB23" s="9">
        <f>AB22/$B22</f>
        <v/>
      </c>
      <c r="AC23" s="9">
        <f>AC22/$B22</f>
        <v/>
      </c>
      <c r="AD23" s="9">
        <f>AD22/$B22</f>
        <v/>
      </c>
      <c r="AE23" s="9">
        <f>AE22/$B22</f>
        <v/>
      </c>
      <c r="AF23" s="9">
        <f>AF22/$B22</f>
        <v/>
      </c>
      <c r="AG23" s="9">
        <f>AG22/$B22</f>
        <v/>
      </c>
      <c r="AH23" s="9">
        <f>AH22/$B22</f>
        <v/>
      </c>
      <c r="AI23" s="9">
        <f>AI22/$B22</f>
        <v/>
      </c>
      <c r="AJ23" s="9">
        <f>AJ22/$B22</f>
        <v/>
      </c>
      <c r="AK23" s="9">
        <f>AK22/$B22</f>
        <v/>
      </c>
      <c r="AL23" s="9">
        <f>AL22/$B22</f>
        <v/>
      </c>
      <c r="AM23" s="9">
        <f>AM22/$B22</f>
        <v/>
      </c>
      <c r="AN23" s="9">
        <f>AN22/$B22</f>
        <v/>
      </c>
      <c r="AO23" s="9">
        <f>AO22/$B22</f>
        <v/>
      </c>
      <c r="AP23" s="9">
        <f>AP22/$B22</f>
        <v/>
      </c>
      <c r="AQ23" s="9">
        <f>AQ22/$B22</f>
        <v/>
      </c>
      <c r="AR23" s="9">
        <f>AR22/$B22</f>
        <v/>
      </c>
      <c r="AS23" s="9">
        <f>AS22/$B22</f>
        <v/>
      </c>
      <c r="AT23" s="9">
        <f>AT22/$B22</f>
        <v/>
      </c>
      <c r="AU23" s="9">
        <f>AU22/$B22</f>
        <v/>
      </c>
    </row>
    <row r="24">
      <c r="B24" s="12">
        <f>B20/B22</f>
        <v/>
      </c>
      <c r="C24" s="12">
        <f>C20/C22</f>
        <v/>
      </c>
      <c r="D24" s="12">
        <f>D20/D22</f>
        <v/>
      </c>
      <c r="E24" s="12">
        <f>E20/E22</f>
        <v/>
      </c>
      <c r="F24" s="12">
        <f>F20/F22</f>
        <v/>
      </c>
      <c r="G24" s="12">
        <f>G20/G22</f>
        <v/>
      </c>
      <c r="H24" s="12">
        <f>H20/H22</f>
        <v/>
      </c>
      <c r="I24" s="12">
        <f>I20/I22</f>
        <v/>
      </c>
      <c r="J24" s="12">
        <f>J20/J22</f>
        <v/>
      </c>
      <c r="K24" s="12">
        <f>K20/K22</f>
        <v/>
      </c>
      <c r="L24" s="12">
        <f>L20/L22</f>
        <v/>
      </c>
      <c r="M24" s="12">
        <f>M20/M22</f>
        <v/>
      </c>
      <c r="N24" s="12">
        <f>N20/N22</f>
        <v/>
      </c>
      <c r="O24" s="12">
        <f>O20/O22</f>
        <v/>
      </c>
      <c r="P24" s="12">
        <f>P20/P22</f>
        <v/>
      </c>
      <c r="Q24" s="12">
        <f>Q20/Q22</f>
        <v/>
      </c>
      <c r="R24" s="12">
        <f>R20/R22</f>
        <v/>
      </c>
      <c r="S24" s="12">
        <f>S20/S22</f>
        <v/>
      </c>
      <c r="T24" s="12">
        <f>T20/T22</f>
        <v/>
      </c>
      <c r="U24" s="12">
        <f>U20/U22</f>
        <v/>
      </c>
      <c r="V24" s="12">
        <f>V20/V22</f>
        <v/>
      </c>
      <c r="W24" s="12">
        <f>W20/W22</f>
        <v/>
      </c>
      <c r="X24" s="12">
        <f>X20/X22</f>
        <v/>
      </c>
      <c r="Y24" s="12">
        <f>Y20/Y22</f>
        <v/>
      </c>
      <c r="Z24" s="12">
        <f>Z20/Z22</f>
        <v/>
      </c>
      <c r="AA24" s="12">
        <f>AA20/AA22</f>
        <v/>
      </c>
      <c r="AB24" s="12">
        <f>AB20/AB22</f>
        <v/>
      </c>
      <c r="AC24" s="12">
        <f>AC20/AC22</f>
        <v/>
      </c>
      <c r="AD24" s="12">
        <f>AD20/AD22</f>
        <v/>
      </c>
      <c r="AE24" s="12">
        <f>AE20/AE22</f>
        <v/>
      </c>
      <c r="AF24" s="12">
        <f>AF20/AF22</f>
        <v/>
      </c>
      <c r="AG24" s="12">
        <f>AG20/AG22</f>
        <v/>
      </c>
      <c r="AH24" s="12">
        <f>AH20/AH22</f>
        <v/>
      </c>
      <c r="AI24" s="12">
        <f>AI20/AI22</f>
        <v/>
      </c>
      <c r="AJ24" s="12">
        <f>AJ20/AJ22</f>
        <v/>
      </c>
      <c r="AK24" s="12">
        <f>AK20/AK22</f>
        <v/>
      </c>
      <c r="AL24" s="12">
        <f>AL20/AL22</f>
        <v/>
      </c>
      <c r="AM24" s="12">
        <f>AM20/AM22</f>
        <v/>
      </c>
      <c r="AN24" s="12">
        <f>AN20/AN22</f>
        <v/>
      </c>
      <c r="AO24" s="12">
        <f>AO20/AO22</f>
        <v/>
      </c>
      <c r="AP24" s="12">
        <f>AP20/AP22</f>
        <v/>
      </c>
      <c r="AQ24" s="12">
        <f>AQ20/AQ22</f>
        <v/>
      </c>
      <c r="AR24" s="12">
        <f>AR20/AR22</f>
        <v/>
      </c>
      <c r="AS24" s="12">
        <f>AS20/AS22</f>
        <v/>
      </c>
      <c r="AT24" s="12">
        <f>AT20/AT22</f>
        <v/>
      </c>
      <c r="AU24" s="12">
        <f>AU20/AU22</f>
        <v/>
      </c>
    </row>
    <row r="27">
      <c r="A27" s="16" t="inlineStr">
        <is>
          <t>Price impact calculation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B28" s="12" t="n"/>
      <c r="C28" s="12" t="n"/>
      <c r="D28" s="12" t="n"/>
      <c r="E28" s="1" t="n"/>
      <c r="F28" s="1" t="n">
        <v>2020</v>
      </c>
      <c r="G28" s="1" t="n">
        <v>2030</v>
      </c>
      <c r="H28" s="1" t="n">
        <v>2040</v>
      </c>
      <c r="I28" s="1" t="n">
        <v>2050</v>
      </c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</row>
    <row r="29">
      <c r="A29" s="1" t="inlineStr">
        <is>
          <t>today's distribution tariff</t>
        </is>
      </c>
      <c r="B29" s="11" t="n">
        <v>53</v>
      </c>
      <c r="C29" s="12" t="inlineStr">
        <is>
          <t>EUR/MWh</t>
        </is>
      </c>
      <c r="D29" s="12" t="n"/>
      <c r="E29" s="12" t="inlineStr">
        <is>
          <t>TWh</t>
        </is>
      </c>
      <c r="F29" s="11" t="n">
        <v>2589.565211</v>
      </c>
      <c r="G29" s="11" t="n">
        <v>3721.757619053877</v>
      </c>
      <c r="H29" s="11" t="n">
        <v>4188.002759515592</v>
      </c>
      <c r="I29" s="11" t="n">
        <v>4629.943959174688</v>
      </c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</row>
    <row r="30">
      <c r="A30" s="1" t="inlineStr">
        <is>
          <t>2020 elec consumption</t>
        </is>
      </c>
      <c r="B30" s="2" t="n">
        <v>2590</v>
      </c>
      <c r="C30" t="inlineStr">
        <is>
          <t>TWh</t>
        </is>
      </c>
      <c r="E30" t="inlineStr">
        <is>
          <t>TWh DSO</t>
        </is>
      </c>
      <c r="F30" s="11">
        <f>F29*$B$31</f>
        <v/>
      </c>
      <c r="G30" s="11">
        <f>G29*$B$31</f>
        <v/>
      </c>
      <c r="H30" s="11">
        <f>H29*$B$31</f>
        <v/>
      </c>
      <c r="I30" s="11">
        <f>I29*$B$31</f>
        <v/>
      </c>
    </row>
    <row r="31">
      <c r="A31" s="1" t="inlineStr">
        <is>
          <t>Assumption DSO share consumption</t>
        </is>
      </c>
      <c r="B31" s="2" t="n">
        <v>0.8</v>
      </c>
      <c r="E31" t="inlineStr">
        <is>
          <t>Ratio Consumption</t>
        </is>
      </c>
      <c r="F31" s="21">
        <f>F30/$F30</f>
        <v/>
      </c>
      <c r="G31" s="21">
        <f>G30/$F30</f>
        <v/>
      </c>
      <c r="H31" s="21">
        <f>H30/$F30</f>
        <v/>
      </c>
      <c r="I31" s="21">
        <f>I30/$F30</f>
        <v/>
      </c>
    </row>
    <row r="32">
      <c r="A32" s="1" t="inlineStr">
        <is>
          <t>Estimated DSO revenue</t>
        </is>
      </c>
      <c r="B32" s="14">
        <f>B30*B31*10^6*B29*10^-9</f>
        <v/>
      </c>
      <c r="C32" t="inlineStr">
        <is>
          <t>billion EUR</t>
        </is>
      </c>
      <c r="E32" s="12" t="inlineStr">
        <is>
          <t>Ratio revenue</t>
        </is>
      </c>
      <c r="F32" s="13">
        <f>B23</f>
        <v/>
      </c>
      <c r="G32" s="13">
        <f>L23</f>
        <v/>
      </c>
      <c r="H32" s="13">
        <f>V23</f>
        <v/>
      </c>
      <c r="I32" s="13">
        <f>AF23</f>
        <v/>
      </c>
    </row>
    <row r="33">
      <c r="A33" s="19" t="inlineStr">
        <is>
          <t>Check error against Max Allowable Revenue from revenue model</t>
        </is>
      </c>
      <c r="B33" s="20">
        <f>(B32-B22)/B32</f>
        <v/>
      </c>
      <c r="E33" t="inlineStr">
        <is>
          <t>revenue</t>
        </is>
      </c>
      <c r="F33" s="14">
        <f>B32</f>
        <v/>
      </c>
      <c r="G33" s="14">
        <f>$F33*G32</f>
        <v/>
      </c>
      <c r="H33" s="14">
        <f>$F33*H32</f>
        <v/>
      </c>
      <c r="I33" s="14">
        <f>$F33*I32</f>
        <v/>
      </c>
    </row>
    <row r="34">
      <c r="E34" t="inlineStr">
        <is>
          <t>distribution charges (EUR/MWh)</t>
        </is>
      </c>
      <c r="F34" s="14">
        <f>F33*1000/F30</f>
        <v/>
      </c>
      <c r="G34" s="14">
        <f>G33*1000/G30</f>
        <v/>
      </c>
      <c r="H34" s="14">
        <f>H33*1000/H30</f>
        <v/>
      </c>
      <c r="I34" s="14">
        <f>I33*1000/I30</f>
        <v/>
      </c>
    </row>
    <row r="36">
      <c r="A36" t="inlineStr">
        <is>
          <t>Verbal Input on share of distribution consumption in national total</t>
        </is>
      </c>
      <c r="B36" t="inlineStr">
        <is>
          <t>France</t>
        </is>
      </c>
      <c r="C36" t="inlineStr">
        <is>
          <t>Italy</t>
        </is>
      </c>
      <c r="F36" s="1" t="n">
        <v>2018</v>
      </c>
      <c r="G36" s="1" t="n">
        <v>2030</v>
      </c>
      <c r="H36" s="1" t="n">
        <v>2040</v>
      </c>
      <c r="I36" s="1" t="n">
        <v>2050</v>
      </c>
    </row>
    <row r="37">
      <c r="A37" t="inlineStr">
        <is>
          <t xml:space="preserve">Share of electricity </t>
        </is>
      </c>
      <c r="B37" t="n">
        <v>80</v>
      </c>
      <c r="C37" t="n">
        <v>80</v>
      </c>
    </row>
    <row r="39">
      <c r="A39" t="inlineStr">
        <is>
          <t>Eurostat - T&amp;D tariff</t>
        </is>
      </c>
      <c r="B39" t="n">
        <v>66</v>
      </c>
      <c r="C39" t="n">
        <v>2022</v>
      </c>
      <c r="I39">
        <f>32*3.3</f>
        <v/>
      </c>
    </row>
    <row r="40">
      <c r="I40">
        <f>129+105</f>
        <v/>
      </c>
    </row>
    <row r="41">
      <c r="B41" s="18" t="n"/>
      <c r="I41">
        <f>I40/3.7</f>
        <v/>
      </c>
    </row>
    <row r="45">
      <c r="F45" t="n">
        <v>1.82</v>
      </c>
    </row>
    <row r="46">
      <c r="F46">
        <f>4630/2590</f>
        <v/>
      </c>
    </row>
    <row r="47">
      <c r="F47">
        <f>1.82/1.7876</f>
        <v/>
      </c>
    </row>
    <row r="48">
      <c r="F48">
        <f>54/53</f>
        <v/>
      </c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4.5"/>
  <cols>
    <col width="39.1796875" customWidth="1" min="1" max="1"/>
    <col width="11.81640625" bestFit="1" customWidth="1" min="2" max="2"/>
  </cols>
  <sheetData>
    <row r="1">
      <c r="B1" s="2" t="inlineStr">
        <is>
          <t>INPUT</t>
        </is>
      </c>
    </row>
    <row r="2">
      <c r="B2" s="3" t="inlineStr">
        <is>
          <t>CALC</t>
        </is>
      </c>
    </row>
    <row r="4">
      <c r="A4" s="16" t="inlineStr">
        <is>
          <t>Simplified model of DSO allowable revenue for Europe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6">
      <c r="A6" t="inlineStr">
        <is>
          <t>Max allowable revenue</t>
        </is>
      </c>
      <c r="B6" t="inlineStr">
        <is>
          <t>(RAB*WACC)+Depreciation+ OPEX</t>
        </is>
      </c>
    </row>
    <row r="8">
      <c r="A8" s="1" t="inlineStr">
        <is>
          <t>WACC</t>
        </is>
      </c>
      <c r="B8" s="6" t="n">
        <v>0.054</v>
      </c>
    </row>
    <row r="9">
      <c r="A9" s="1" t="inlineStr">
        <is>
          <t>Average Asset Lifetime</t>
        </is>
      </c>
      <c r="B9" s="2" t="n">
        <v>42</v>
      </c>
      <c r="E9" t="inlineStr">
        <is>
          <t>Verbal Input on Share of CAPEX in allowance revenue</t>
        </is>
      </c>
    </row>
    <row r="10">
      <c r="A10" s="1" t="inlineStr">
        <is>
          <t>Depreciation rate</t>
        </is>
      </c>
      <c r="B10" s="7">
        <f>1/B9</f>
        <v/>
      </c>
      <c r="E10" t="inlineStr">
        <is>
          <t>Germany</t>
        </is>
      </c>
      <c r="F10" t="inlineStr">
        <is>
          <t>Italy</t>
        </is>
      </c>
      <c r="G10" t="inlineStr">
        <is>
          <t>Ireland</t>
        </is>
      </c>
      <c r="H10" t="inlineStr">
        <is>
          <t>Portugal</t>
        </is>
      </c>
    </row>
    <row r="11">
      <c r="A11" s="1" t="inlineStr">
        <is>
          <t>Share of CAPEX in allowable revenue</t>
        </is>
      </c>
      <c r="B11" s="10" t="n">
        <v>0.5</v>
      </c>
      <c r="E11" t="n">
        <v>40</v>
      </c>
      <c r="F11" t="n">
        <v>66</v>
      </c>
      <c r="G11" t="n">
        <v>80</v>
      </c>
      <c r="H11" t="n">
        <v>40</v>
      </c>
    </row>
    <row r="12">
      <c r="A12" s="1" t="inlineStr">
        <is>
          <t>OPEX Growth</t>
        </is>
      </c>
      <c r="B12" s="10" t="n">
        <v>0.01</v>
      </c>
    </row>
    <row r="13">
      <c r="A13" s="1" t="inlineStr">
        <is>
          <t>Starting RAB Europe</t>
        </is>
      </c>
      <c r="B13" s="2" t="n">
        <v>700</v>
      </c>
      <c r="C13" t="inlineStr">
        <is>
          <t>B EUR</t>
        </is>
      </c>
    </row>
    <row r="15">
      <c r="A15" s="5" t="inlineStr">
        <is>
          <t>B EUR</t>
        </is>
      </c>
      <c r="B15" s="5" t="n">
        <v>2020</v>
      </c>
      <c r="C15" s="5" t="n">
        <v>2021</v>
      </c>
      <c r="D15" s="5" t="n">
        <v>2022</v>
      </c>
      <c r="E15" s="5" t="n">
        <v>2023</v>
      </c>
      <c r="F15" s="5" t="n">
        <v>2024</v>
      </c>
      <c r="G15" s="5" t="n">
        <v>2025</v>
      </c>
      <c r="H15" s="5" t="n">
        <v>2026</v>
      </c>
      <c r="I15" s="5" t="n">
        <v>2027</v>
      </c>
      <c r="J15" s="5" t="n">
        <v>2028</v>
      </c>
      <c r="K15" s="5" t="n">
        <v>2029</v>
      </c>
      <c r="L15" s="5" t="n">
        <v>2030</v>
      </c>
      <c r="M15" s="5" t="n">
        <v>2031</v>
      </c>
      <c r="N15" s="5" t="n">
        <v>2032</v>
      </c>
      <c r="O15" s="5" t="n">
        <v>2033</v>
      </c>
      <c r="P15" s="5" t="n">
        <v>2034</v>
      </c>
      <c r="Q15" s="5" t="n">
        <v>2035</v>
      </c>
      <c r="R15" s="5" t="n">
        <v>2036</v>
      </c>
      <c r="S15" s="5" t="n">
        <v>2037</v>
      </c>
      <c r="T15" s="5" t="n">
        <v>2038</v>
      </c>
      <c r="U15" s="5" t="n">
        <v>2039</v>
      </c>
      <c r="V15" s="5" t="n">
        <v>2040</v>
      </c>
      <c r="W15" s="5" t="n">
        <v>2041</v>
      </c>
      <c r="X15" s="5" t="n">
        <v>2042</v>
      </c>
      <c r="Y15" s="5" t="n">
        <v>2043</v>
      </c>
      <c r="Z15" s="5" t="n">
        <v>2044</v>
      </c>
      <c r="AA15" s="5" t="n">
        <v>2045</v>
      </c>
      <c r="AB15" s="5" t="n">
        <v>2046</v>
      </c>
      <c r="AC15" s="5" t="n">
        <v>2047</v>
      </c>
      <c r="AD15" s="5" t="n">
        <v>2048</v>
      </c>
      <c r="AE15" s="5" t="n">
        <v>2049</v>
      </c>
      <c r="AF15" s="5" t="n">
        <v>2050</v>
      </c>
      <c r="AG15" s="5" t="n">
        <v>2051</v>
      </c>
      <c r="AH15" s="5" t="n">
        <v>2052</v>
      </c>
      <c r="AI15" s="5" t="n">
        <v>2053</v>
      </c>
      <c r="AJ15" s="5" t="n">
        <v>2054</v>
      </c>
      <c r="AK15" s="5" t="n">
        <v>2055</v>
      </c>
      <c r="AL15" s="5" t="n">
        <v>2056</v>
      </c>
      <c r="AM15" s="5" t="n">
        <v>2057</v>
      </c>
      <c r="AN15" s="5" t="n">
        <v>2058</v>
      </c>
      <c r="AO15" s="5" t="n">
        <v>2059</v>
      </c>
      <c r="AP15" s="5" t="n">
        <v>2060</v>
      </c>
      <c r="AQ15" s="5" t="n">
        <v>2061</v>
      </c>
      <c r="AR15" s="5" t="n">
        <v>2062</v>
      </c>
      <c r="AS15" s="5" t="n">
        <v>2063</v>
      </c>
      <c r="AT15" s="5" t="n">
        <v>2064</v>
      </c>
      <c r="AU15" s="5" t="n">
        <v>2065</v>
      </c>
    </row>
    <row r="16">
      <c r="A16" s="5" t="inlineStr">
        <is>
          <t>Opening RAB</t>
        </is>
      </c>
      <c r="B16" s="3">
        <f>B13</f>
        <v/>
      </c>
      <c r="C16" s="4">
        <f>B19</f>
        <v/>
      </c>
      <c r="D16" s="4">
        <f>C19</f>
        <v/>
      </c>
      <c r="E16" s="4">
        <f>D19</f>
        <v/>
      </c>
      <c r="F16" s="4">
        <f>E19</f>
        <v/>
      </c>
      <c r="G16" s="4">
        <f>F19</f>
        <v/>
      </c>
      <c r="H16" s="4">
        <f>G19</f>
        <v/>
      </c>
      <c r="I16" s="4">
        <f>H19</f>
        <v/>
      </c>
      <c r="J16" s="4">
        <f>I19</f>
        <v/>
      </c>
      <c r="K16" s="4">
        <f>J19</f>
        <v/>
      </c>
      <c r="L16" s="4">
        <f>K19</f>
        <v/>
      </c>
      <c r="M16" s="4">
        <f>L19</f>
        <v/>
      </c>
      <c r="N16" s="4">
        <f>M19</f>
        <v/>
      </c>
      <c r="O16" s="4">
        <f>N19</f>
        <v/>
      </c>
      <c r="P16" s="4">
        <f>O19</f>
        <v/>
      </c>
      <c r="Q16" s="4">
        <f>P19</f>
        <v/>
      </c>
      <c r="R16" s="4">
        <f>Q19</f>
        <v/>
      </c>
      <c r="S16" s="4">
        <f>R19</f>
        <v/>
      </c>
      <c r="T16" s="4">
        <f>S19</f>
        <v/>
      </c>
      <c r="U16" s="4">
        <f>T19</f>
        <v/>
      </c>
      <c r="V16" s="4">
        <f>U19</f>
        <v/>
      </c>
      <c r="W16" s="4">
        <f>V19</f>
        <v/>
      </c>
      <c r="X16" s="4">
        <f>W19</f>
        <v/>
      </c>
      <c r="Y16" s="4">
        <f>X19</f>
        <v/>
      </c>
      <c r="Z16" s="4">
        <f>Y19</f>
        <v/>
      </c>
      <c r="AA16" s="4">
        <f>Z19</f>
        <v/>
      </c>
      <c r="AB16" s="4">
        <f>AA19</f>
        <v/>
      </c>
      <c r="AC16" s="4">
        <f>AB19</f>
        <v/>
      </c>
      <c r="AD16" s="4">
        <f>AC19</f>
        <v/>
      </c>
      <c r="AE16" s="4">
        <f>AD19</f>
        <v/>
      </c>
      <c r="AF16" s="4">
        <f>AE19</f>
        <v/>
      </c>
      <c r="AG16" s="4">
        <f>AF19</f>
        <v/>
      </c>
      <c r="AH16" s="4">
        <f>AG19</f>
        <v/>
      </c>
      <c r="AI16" s="4">
        <f>AH19</f>
        <v/>
      </c>
      <c r="AJ16" s="4">
        <f>AI19</f>
        <v/>
      </c>
      <c r="AK16" s="4">
        <f>AJ19</f>
        <v/>
      </c>
      <c r="AL16" s="4">
        <f>AK19</f>
        <v/>
      </c>
      <c r="AM16" s="4">
        <f>AL19</f>
        <v/>
      </c>
      <c r="AN16" s="4">
        <f>AM19</f>
        <v/>
      </c>
      <c r="AO16" s="4">
        <f>AN19</f>
        <v/>
      </c>
      <c r="AP16" s="4">
        <f>AO19</f>
        <v/>
      </c>
      <c r="AQ16" s="4">
        <f>AP19</f>
        <v/>
      </c>
      <c r="AR16" s="4">
        <f>AQ19</f>
        <v/>
      </c>
      <c r="AS16" s="4">
        <f>AR19</f>
        <v/>
      </c>
      <c r="AT16" s="4">
        <f>AS19</f>
        <v/>
      </c>
      <c r="AU16" s="4">
        <f>AT19</f>
        <v/>
      </c>
    </row>
    <row r="17">
      <c r="A17" s="5" t="inlineStr">
        <is>
          <t>CAPEX addition</t>
        </is>
      </c>
      <c r="B17" s="2" t="n">
        <v>29</v>
      </c>
      <c r="C17" s="2" t="n">
        <v>32</v>
      </c>
      <c r="D17" s="2" t="n">
        <v>35</v>
      </c>
      <c r="E17" s="2" t="n">
        <v>36</v>
      </c>
      <c r="F17" s="2" t="n">
        <v>40</v>
      </c>
      <c r="G17" s="2" t="n">
        <v>60</v>
      </c>
      <c r="H17" s="2" t="n">
        <v>72</v>
      </c>
      <c r="I17" s="2" t="n">
        <v>72</v>
      </c>
      <c r="J17" s="2" t="n">
        <v>72</v>
      </c>
      <c r="K17" s="2" t="n">
        <v>72</v>
      </c>
      <c r="L17" s="2" t="n">
        <v>72</v>
      </c>
      <c r="M17" s="2" t="n">
        <v>72</v>
      </c>
      <c r="N17" s="2" t="n">
        <v>72</v>
      </c>
      <c r="O17" s="2" t="n">
        <v>72</v>
      </c>
      <c r="P17" s="2" t="n">
        <v>72</v>
      </c>
      <c r="Q17" s="2" t="n">
        <v>72</v>
      </c>
      <c r="R17" s="2" t="n">
        <v>72</v>
      </c>
      <c r="S17" s="2" t="n">
        <v>72</v>
      </c>
      <c r="T17" s="2" t="n">
        <v>72</v>
      </c>
      <c r="U17" s="2" t="n">
        <v>72</v>
      </c>
      <c r="V17" s="2" t="n">
        <v>72</v>
      </c>
      <c r="W17" s="2" t="n">
        <v>60</v>
      </c>
      <c r="X17" s="2" t="n">
        <v>60</v>
      </c>
      <c r="Y17" s="2" t="n">
        <v>60</v>
      </c>
      <c r="Z17" s="2" t="n">
        <v>60</v>
      </c>
      <c r="AA17" s="2" t="n">
        <v>60</v>
      </c>
      <c r="AB17" s="2" t="n">
        <v>60</v>
      </c>
      <c r="AC17" s="2" t="n">
        <v>60</v>
      </c>
      <c r="AD17" s="2" t="n">
        <v>60</v>
      </c>
      <c r="AE17" s="2" t="n">
        <v>60</v>
      </c>
      <c r="AF17" s="2" t="n">
        <v>60</v>
      </c>
      <c r="AG17" s="2" t="n">
        <v>60</v>
      </c>
      <c r="AH17" s="2" t="n">
        <v>60</v>
      </c>
      <c r="AI17" s="2" t="n">
        <v>60</v>
      </c>
      <c r="AJ17" s="2" t="n">
        <v>60</v>
      </c>
      <c r="AK17" s="2" t="n">
        <v>60</v>
      </c>
      <c r="AL17" s="2" t="n">
        <v>60</v>
      </c>
      <c r="AM17" s="2" t="n">
        <v>60</v>
      </c>
      <c r="AN17" s="2" t="n">
        <v>60</v>
      </c>
      <c r="AO17" s="2" t="n">
        <v>60</v>
      </c>
      <c r="AP17" s="2" t="n">
        <v>60</v>
      </c>
      <c r="AQ17" s="2" t="n">
        <v>60</v>
      </c>
      <c r="AR17" s="2" t="n">
        <v>60</v>
      </c>
      <c r="AS17" s="2" t="n">
        <v>60</v>
      </c>
      <c r="AT17" s="2" t="n">
        <v>60</v>
      </c>
      <c r="AU17" s="2" t="n">
        <v>60</v>
      </c>
    </row>
    <row r="18">
      <c r="A18" s="5" t="inlineStr">
        <is>
          <t>Depreciation</t>
        </is>
      </c>
      <c r="B18" s="4">
        <f>(B16*$B10)</f>
        <v/>
      </c>
      <c r="C18" s="4">
        <f>(C16*$B10)</f>
        <v/>
      </c>
      <c r="D18" s="4">
        <f>(D16*$B10)</f>
        <v/>
      </c>
      <c r="E18" s="4">
        <f>(E16*$B10)</f>
        <v/>
      </c>
      <c r="F18" s="4">
        <f>(F16*$B10)</f>
        <v/>
      </c>
      <c r="G18" s="4">
        <f>(G16*$B10)</f>
        <v/>
      </c>
      <c r="H18" s="4">
        <f>(H16*$B10)</f>
        <v/>
      </c>
      <c r="I18" s="4">
        <f>(I16*$B10)</f>
        <v/>
      </c>
      <c r="J18" s="4">
        <f>(J16*$B10)</f>
        <v/>
      </c>
      <c r="K18" s="4">
        <f>(K16*$B10)</f>
        <v/>
      </c>
      <c r="L18" s="4">
        <f>(L16*$B10)</f>
        <v/>
      </c>
      <c r="M18" s="15">
        <f>L18</f>
        <v/>
      </c>
      <c r="N18" s="15">
        <f>M18</f>
        <v/>
      </c>
      <c r="O18" s="15">
        <f>N18</f>
        <v/>
      </c>
      <c r="P18" s="15">
        <f>O18</f>
        <v/>
      </c>
      <c r="Q18" s="15">
        <f>P18</f>
        <v/>
      </c>
      <c r="R18" s="15">
        <f>Q18</f>
        <v/>
      </c>
      <c r="S18" s="15">
        <f>R18</f>
        <v/>
      </c>
      <c r="T18" s="15">
        <f>S18</f>
        <v/>
      </c>
      <c r="U18" s="15">
        <f>T18</f>
        <v/>
      </c>
      <c r="V18" s="15">
        <f>U18</f>
        <v/>
      </c>
      <c r="W18" s="15">
        <f>V18</f>
        <v/>
      </c>
      <c r="X18" s="15">
        <f>W18</f>
        <v/>
      </c>
      <c r="Y18" s="15">
        <f>X18</f>
        <v/>
      </c>
      <c r="Z18" s="15">
        <f>Y18</f>
        <v/>
      </c>
      <c r="AA18" s="15">
        <f>Z18</f>
        <v/>
      </c>
      <c r="AB18" s="15">
        <f>AA18</f>
        <v/>
      </c>
      <c r="AC18" s="15">
        <f>AB18</f>
        <v/>
      </c>
      <c r="AD18" s="15">
        <f>AC18</f>
        <v/>
      </c>
      <c r="AE18" s="15">
        <f>AD18</f>
        <v/>
      </c>
      <c r="AF18" s="15">
        <f>AE18</f>
        <v/>
      </c>
      <c r="AG18" s="15">
        <f>AF18</f>
        <v/>
      </c>
      <c r="AH18" s="15">
        <f>AG18</f>
        <v/>
      </c>
      <c r="AI18" s="15">
        <f>AH18</f>
        <v/>
      </c>
      <c r="AJ18" s="15">
        <f>AI18</f>
        <v/>
      </c>
      <c r="AK18" s="15">
        <f>AJ18</f>
        <v/>
      </c>
      <c r="AL18" s="15">
        <f>AK18</f>
        <v/>
      </c>
      <c r="AM18" s="15">
        <f>AL18</f>
        <v/>
      </c>
      <c r="AN18" s="15">
        <f>AM18</f>
        <v/>
      </c>
      <c r="AO18" s="15">
        <f>AN18</f>
        <v/>
      </c>
      <c r="AP18" s="15">
        <f>AO18</f>
        <v/>
      </c>
      <c r="AQ18" s="15">
        <f>AP18</f>
        <v/>
      </c>
      <c r="AR18" s="15">
        <f>AQ18</f>
        <v/>
      </c>
      <c r="AS18" s="15">
        <f>AR18</f>
        <v/>
      </c>
      <c r="AT18" s="15">
        <f>AS18</f>
        <v/>
      </c>
      <c r="AU18" s="15">
        <f>AT18</f>
        <v/>
      </c>
    </row>
    <row r="19">
      <c r="A19" s="5" t="inlineStr">
        <is>
          <t>New RAB</t>
        </is>
      </c>
      <c r="B19" s="4">
        <f>B16+B17-B18</f>
        <v/>
      </c>
      <c r="C19" s="4">
        <f>C16+C17-C18</f>
        <v/>
      </c>
      <c r="D19" s="4">
        <f>D16+D17-D18</f>
        <v/>
      </c>
      <c r="E19" s="4">
        <f>E16+E17-E18</f>
        <v/>
      </c>
      <c r="F19" s="4">
        <f>F16+F17-F18</f>
        <v/>
      </c>
      <c r="G19" s="4">
        <f>G16+G17-G18</f>
        <v/>
      </c>
      <c r="H19" s="4">
        <f>H16+H17-H18</f>
        <v/>
      </c>
      <c r="I19" s="4">
        <f>I16+I17-I18</f>
        <v/>
      </c>
      <c r="J19" s="4">
        <f>J16+J17-J18</f>
        <v/>
      </c>
      <c r="K19" s="4">
        <f>K16+K17-K18</f>
        <v/>
      </c>
      <c r="L19" s="4">
        <f>L16+L17-L18</f>
        <v/>
      </c>
      <c r="M19" s="4">
        <f>M16+M17-M18</f>
        <v/>
      </c>
      <c r="N19" s="4">
        <f>N16+N17-N18</f>
        <v/>
      </c>
      <c r="O19" s="4">
        <f>O16+O17-O18</f>
        <v/>
      </c>
      <c r="P19" s="4">
        <f>P16+P17-P18</f>
        <v/>
      </c>
      <c r="Q19" s="4">
        <f>Q16+Q17-Q18</f>
        <v/>
      </c>
      <c r="R19" s="4">
        <f>R16+R17-R18</f>
        <v/>
      </c>
      <c r="S19" s="4">
        <f>S16+S17-S18</f>
        <v/>
      </c>
      <c r="T19" s="4">
        <f>T16+T17-T18</f>
        <v/>
      </c>
      <c r="U19" s="4">
        <f>U16+U17-U18</f>
        <v/>
      </c>
      <c r="V19" s="4">
        <f>V16+V17-V18</f>
        <v/>
      </c>
      <c r="W19" s="4">
        <f>W16+W17-W18</f>
        <v/>
      </c>
      <c r="X19" s="4">
        <f>X16+X17-X18</f>
        <v/>
      </c>
      <c r="Y19" s="4">
        <f>Y16+Y17-Y18</f>
        <v/>
      </c>
      <c r="Z19" s="4">
        <f>Z16+Z17-Z18</f>
        <v/>
      </c>
      <c r="AA19" s="4">
        <f>AA16+AA17-AA18</f>
        <v/>
      </c>
      <c r="AB19" s="4">
        <f>AB16+AB17-AB18</f>
        <v/>
      </c>
      <c r="AC19" s="4">
        <f>AC16+AC17-AC18</f>
        <v/>
      </c>
      <c r="AD19" s="4">
        <f>AD16+AD17-AD18</f>
        <v/>
      </c>
      <c r="AE19" s="4">
        <f>AE16+AE17-AE18</f>
        <v/>
      </c>
      <c r="AF19" s="4">
        <f>AF16+AF17-AF18</f>
        <v/>
      </c>
      <c r="AG19" s="4">
        <f>AG16+AG17-AG18</f>
        <v/>
      </c>
      <c r="AH19" s="4">
        <f>AH16+AH17-AH18</f>
        <v/>
      </c>
      <c r="AI19" s="4">
        <f>AI16+AI17-AI18</f>
        <v/>
      </c>
      <c r="AJ19" s="4">
        <f>AJ16+AJ17-AJ18</f>
        <v/>
      </c>
      <c r="AK19" s="4">
        <f>AK16+AK17-AK18</f>
        <v/>
      </c>
      <c r="AL19" s="4">
        <f>AL16+AL17-AL18</f>
        <v/>
      </c>
      <c r="AM19" s="4">
        <f>AM16+AM17-AM18</f>
        <v/>
      </c>
      <c r="AN19" s="4">
        <f>AN16+AN17-AN18</f>
        <v/>
      </c>
      <c r="AO19" s="4">
        <f>AO16+AO17-AO18</f>
        <v/>
      </c>
      <c r="AP19" s="4">
        <f>AP16+AP17-AP18</f>
        <v/>
      </c>
      <c r="AQ19" s="4">
        <f>AQ16+AQ17-AQ18</f>
        <v/>
      </c>
      <c r="AR19" s="4">
        <f>AR16+AR17-AR18</f>
        <v/>
      </c>
      <c r="AS19" s="4">
        <f>AS16+AS17-AS18</f>
        <v/>
      </c>
      <c r="AT19" s="4">
        <f>AT16+AT17-AT18</f>
        <v/>
      </c>
      <c r="AU19" s="4">
        <f>AU16+AU17-AU18</f>
        <v/>
      </c>
    </row>
    <row r="20">
      <c r="A20" s="5" t="inlineStr">
        <is>
          <t>Max allowable Revenue CAPEX</t>
        </is>
      </c>
      <c r="B20" s="4">
        <f>(B16+B17)*$B8+B18</f>
        <v/>
      </c>
      <c r="C20" s="4">
        <f>(C16+C17)*$B8+C18</f>
        <v/>
      </c>
      <c r="D20" s="4">
        <f>(D16+D17)*$B8+D18</f>
        <v/>
      </c>
      <c r="E20" s="4">
        <f>(E16+E17)*$B8+E18</f>
        <v/>
      </c>
      <c r="F20" s="4">
        <f>(F16+F17)*$B8+F18</f>
        <v/>
      </c>
      <c r="G20" s="4">
        <f>(G16+G17)*$B8+G18</f>
        <v/>
      </c>
      <c r="H20" s="4">
        <f>(H16+H17)*$B8+H18</f>
        <v/>
      </c>
      <c r="I20" s="4">
        <f>(I16+I17)*$B8+I18</f>
        <v/>
      </c>
      <c r="J20" s="4">
        <f>(J16+J17)*$B8+J18</f>
        <v/>
      </c>
      <c r="K20" s="4">
        <f>(K16+K17)*$B8+K18</f>
        <v/>
      </c>
      <c r="L20" s="4">
        <f>(L16+L17)*$B8+L18</f>
        <v/>
      </c>
      <c r="M20" s="4">
        <f>(M16+M17)*$B8+M18</f>
        <v/>
      </c>
      <c r="N20" s="4">
        <f>(N16+N17)*$B8+N18</f>
        <v/>
      </c>
      <c r="O20" s="4">
        <f>(O16+O17)*$B8+O18</f>
        <v/>
      </c>
      <c r="P20" s="4">
        <f>(P16+P17)*$B8+P18</f>
        <v/>
      </c>
      <c r="Q20" s="4">
        <f>(Q16+Q17)*$B8+Q18</f>
        <v/>
      </c>
      <c r="R20" s="4">
        <f>(R16+R17)*$B8+R18</f>
        <v/>
      </c>
      <c r="S20" s="4">
        <f>(S16+S17)*$B8+S18</f>
        <v/>
      </c>
      <c r="T20" s="4">
        <f>(T16+T17)*$B8+T18</f>
        <v/>
      </c>
      <c r="U20" s="4">
        <f>(U16+U17)*$B8+U18</f>
        <v/>
      </c>
      <c r="V20" s="4">
        <f>(V16+V17)*$B8+V18</f>
        <v/>
      </c>
      <c r="W20" s="4">
        <f>(W16+W17)*$B8+W18</f>
        <v/>
      </c>
      <c r="X20" s="4">
        <f>(X16+X17)*$B8+X18</f>
        <v/>
      </c>
      <c r="Y20" s="4">
        <f>(Y16+Y17)*$B8+Y18</f>
        <v/>
      </c>
      <c r="Z20" s="4">
        <f>(Z16+Z17)*$B8+Z18</f>
        <v/>
      </c>
      <c r="AA20" s="4">
        <f>(AA16+AA17)*$B8+AA18</f>
        <v/>
      </c>
      <c r="AB20" s="4">
        <f>(AB16+AB17)*$B8+AB18</f>
        <v/>
      </c>
      <c r="AC20" s="4">
        <f>(AC16+AC17)*$B8+AC18</f>
        <v/>
      </c>
      <c r="AD20" s="4">
        <f>(AD16+AD17)*$B8+AD18</f>
        <v/>
      </c>
      <c r="AE20" s="4">
        <f>(AE16+AE17)*$B8+AE18</f>
        <v/>
      </c>
      <c r="AF20" s="4">
        <f>(AF16+AF17)*$B8+AF18</f>
        <v/>
      </c>
      <c r="AG20" s="4">
        <f>(AG16+AG17)*$B8+AG18</f>
        <v/>
      </c>
      <c r="AH20" s="4">
        <f>(AH16+AH17)*$B8+AH18</f>
        <v/>
      </c>
      <c r="AI20" s="4">
        <f>(AI16+AI17)*$B8+AI18</f>
        <v/>
      </c>
      <c r="AJ20" s="4">
        <f>(AJ16+AJ17)*$B8+AJ18</f>
        <v/>
      </c>
      <c r="AK20" s="4">
        <f>(AK16+AK17)*$B8+AK18</f>
        <v/>
      </c>
      <c r="AL20" s="4">
        <f>(AL16+AL17)*$B8+AL18</f>
        <v/>
      </c>
      <c r="AM20" s="4">
        <f>(AM16+AM17)*$B8+AM18</f>
        <v/>
      </c>
      <c r="AN20" s="4">
        <f>(AN16+AN17)*$B8+AN18</f>
        <v/>
      </c>
      <c r="AO20" s="4">
        <f>(AO16+AO17)*$B8+AO18</f>
        <v/>
      </c>
      <c r="AP20" s="4">
        <f>(AP16+AP17)*$B8+AP18</f>
        <v/>
      </c>
      <c r="AQ20" s="4">
        <f>(AQ16+AQ17)*$B8+AQ18</f>
        <v/>
      </c>
      <c r="AR20" s="4">
        <f>(AR16+AR17)*$B8+AR18</f>
        <v/>
      </c>
      <c r="AS20" s="4">
        <f>(AS16+AS17)*$B8+AS18</f>
        <v/>
      </c>
      <c r="AT20" s="4">
        <f>(AT16+AT17)*$B8+AT18</f>
        <v/>
      </c>
      <c r="AU20" s="4">
        <f>(AU16+AU17)*$B8+AU18</f>
        <v/>
      </c>
    </row>
    <row r="21">
      <c r="A21" s="5" t="inlineStr">
        <is>
          <t>OPEX</t>
        </is>
      </c>
      <c r="B21" s="11">
        <f>B20*(1/B11-1)</f>
        <v/>
      </c>
      <c r="C21" s="4">
        <f>$B21*(1+$B$12)^(C15-$B15)</f>
        <v/>
      </c>
      <c r="D21" s="4">
        <f>$B21*(1+$B$12)^(D15-$B15)</f>
        <v/>
      </c>
      <c r="E21" s="4">
        <f>$B21*(1+$B$12)^(E15-$B15)</f>
        <v/>
      </c>
      <c r="F21" s="4">
        <f>$B21*(1+$B$12)^(F15-$B15)</f>
        <v/>
      </c>
      <c r="G21" s="4">
        <f>$B21*(1+$B$12)^(G15-$B15)</f>
        <v/>
      </c>
      <c r="H21" s="4">
        <f>$B21*(1+$B$12)^(H15-$B15)</f>
        <v/>
      </c>
      <c r="I21" s="4">
        <f>$B21*(1+$B$12)^(I15-$B15)</f>
        <v/>
      </c>
      <c r="J21" s="4">
        <f>$B21*(1+$B$12)^(J15-$B15)</f>
        <v/>
      </c>
      <c r="K21" s="4">
        <f>$B21*(1+$B$12)^(K15-$B15)</f>
        <v/>
      </c>
      <c r="L21" s="4">
        <f>$B21*(1+$B$12)^(L15-$B15)</f>
        <v/>
      </c>
      <c r="M21" s="4">
        <f>$B21*(1+$B$12)^(M15-$B15)</f>
        <v/>
      </c>
      <c r="N21" s="4">
        <f>$B21*(1+$B$12)^(N15-$B15)</f>
        <v/>
      </c>
      <c r="O21" s="4">
        <f>$B21*(1+$B$12)^(O15-$B15)</f>
        <v/>
      </c>
      <c r="P21" s="4">
        <f>$B21*(1+$B$12)^(P15-$B15)</f>
        <v/>
      </c>
      <c r="Q21" s="4">
        <f>$B21*(1+$B$12)^(Q15-$B15)</f>
        <v/>
      </c>
      <c r="R21" s="4">
        <f>$B21*(1+$B$12)^(R15-$B15)</f>
        <v/>
      </c>
      <c r="S21" s="4">
        <f>$B21*(1+$B$12)^(S15-$B15)</f>
        <v/>
      </c>
      <c r="T21" s="4">
        <f>$B21*(1+$B$12)^(T15-$B15)</f>
        <v/>
      </c>
      <c r="U21" s="4">
        <f>$B21*(1+$B$12)^(U15-$B15)</f>
        <v/>
      </c>
      <c r="V21" s="4">
        <f>$B21*(1+$B$12)^(V15-$B15)</f>
        <v/>
      </c>
      <c r="W21" s="4">
        <f>$B21*(1+$B$12)^(W15-$B15)</f>
        <v/>
      </c>
      <c r="X21" s="4">
        <f>$B21*(1+$B$12)^(X15-$B15)</f>
        <v/>
      </c>
      <c r="Y21" s="4">
        <f>$B21*(1+$B$12)^(Y15-$B15)</f>
        <v/>
      </c>
      <c r="Z21" s="4">
        <f>$B21*(1+$B$12)^(Z15-$B15)</f>
        <v/>
      </c>
      <c r="AA21" s="4">
        <f>$B21*(1+$B$12)^(AA15-$B15)</f>
        <v/>
      </c>
      <c r="AB21" s="4">
        <f>$B21*(1+$B$12)^(AB15-$B15)</f>
        <v/>
      </c>
      <c r="AC21" s="4">
        <f>$B21*(1+$B$12)^(AC15-$B15)</f>
        <v/>
      </c>
      <c r="AD21" s="4">
        <f>$B21*(1+$B$12)^(AD15-$B15)</f>
        <v/>
      </c>
      <c r="AE21" s="4">
        <f>$B21*(1+$B$12)^(AE15-$B15)</f>
        <v/>
      </c>
      <c r="AF21" s="4">
        <f>$B21*(1+$B$12)^(AF15-$B15)</f>
        <v/>
      </c>
      <c r="AG21" s="4">
        <f>$B21*(1+$B$12)^(AG15-$B15)</f>
        <v/>
      </c>
      <c r="AH21" s="4">
        <f>$B21*(1+$B$12)^(AH15-$B15)</f>
        <v/>
      </c>
      <c r="AI21" s="4">
        <f>$B21*(1+$B$12)^(AI15-$B15)</f>
        <v/>
      </c>
      <c r="AJ21" s="4">
        <f>$B21*(1+$B$12)^(AJ15-$B15)</f>
        <v/>
      </c>
      <c r="AK21" s="4">
        <f>$B21*(1+$B$12)^(AK15-$B15)</f>
        <v/>
      </c>
      <c r="AL21" s="4">
        <f>$B21*(1+$B$12)^(AL15-$B15)</f>
        <v/>
      </c>
      <c r="AM21" s="4">
        <f>$B21*(1+$B$12)^(AM15-$B15)</f>
        <v/>
      </c>
      <c r="AN21" s="4">
        <f>$B21*(1+$B$12)^(AN15-$B15)</f>
        <v/>
      </c>
      <c r="AO21" s="4">
        <f>$B21*(1+$B$12)^(AO15-$B15)</f>
        <v/>
      </c>
      <c r="AP21" s="4">
        <f>$B21*(1+$B$12)^(AP15-$B15)</f>
        <v/>
      </c>
      <c r="AQ21" s="4">
        <f>$B21*(1+$B$12)^(AQ15-$B15)</f>
        <v/>
      </c>
      <c r="AR21" s="4">
        <f>$B21*(1+$B$12)^(AR15-$B15)</f>
        <v/>
      </c>
      <c r="AS21" s="4">
        <f>$B21*(1+$B$12)^(AS15-$B15)</f>
        <v/>
      </c>
      <c r="AT21" s="4">
        <f>$B21*(1+$B$12)^(AT15-$B15)</f>
        <v/>
      </c>
      <c r="AU21" s="4">
        <f>$B21*(1+$B$12)^(AU15-$B15)</f>
        <v/>
      </c>
    </row>
    <row r="22">
      <c r="A22" s="5" t="inlineStr">
        <is>
          <t>Max allowable Revenue</t>
        </is>
      </c>
      <c r="B22" s="4">
        <f>B20+B21</f>
        <v/>
      </c>
      <c r="C22" s="4">
        <f>C20+C21</f>
        <v/>
      </c>
      <c r="D22" s="4">
        <f>D20+D21</f>
        <v/>
      </c>
      <c r="E22" s="4">
        <f>E20+E21</f>
        <v/>
      </c>
      <c r="F22" s="4">
        <f>F20+F21</f>
        <v/>
      </c>
      <c r="G22" s="4">
        <f>G20+G21</f>
        <v/>
      </c>
      <c r="H22" s="4">
        <f>H20+H21</f>
        <v/>
      </c>
      <c r="I22" s="4">
        <f>I20+I21</f>
        <v/>
      </c>
      <c r="J22" s="4">
        <f>J20+J21</f>
        <v/>
      </c>
      <c r="K22" s="4">
        <f>K20+K21</f>
        <v/>
      </c>
      <c r="L22" s="4">
        <f>L20+L21</f>
        <v/>
      </c>
      <c r="M22" s="4">
        <f>M20+M21</f>
        <v/>
      </c>
      <c r="N22" s="4">
        <f>N20+N21</f>
        <v/>
      </c>
      <c r="O22" s="4">
        <f>O20+O21</f>
        <v/>
      </c>
      <c r="P22" s="4">
        <f>P20+P21</f>
        <v/>
      </c>
      <c r="Q22" s="4">
        <f>Q20+Q21</f>
        <v/>
      </c>
      <c r="R22" s="4">
        <f>R20+R21</f>
        <v/>
      </c>
      <c r="S22" s="4">
        <f>S20+S21</f>
        <v/>
      </c>
      <c r="T22" s="4">
        <f>T20+T21</f>
        <v/>
      </c>
      <c r="U22" s="4">
        <f>U20+U21</f>
        <v/>
      </c>
      <c r="V22" s="4">
        <f>V20+V21</f>
        <v/>
      </c>
      <c r="W22" s="4">
        <f>W20+W21</f>
        <v/>
      </c>
      <c r="X22" s="4">
        <f>X20+X21</f>
        <v/>
      </c>
      <c r="Y22" s="4">
        <f>Y20+Y21</f>
        <v/>
      </c>
      <c r="Z22" s="4">
        <f>Z20+Z21</f>
        <v/>
      </c>
      <c r="AA22" s="4">
        <f>AA20+AA21</f>
        <v/>
      </c>
      <c r="AB22" s="4">
        <f>AB20+AB21</f>
        <v/>
      </c>
      <c r="AC22" s="4">
        <f>AC20+AC21</f>
        <v/>
      </c>
      <c r="AD22" s="4">
        <f>AD20+AD21</f>
        <v/>
      </c>
      <c r="AE22" s="4">
        <f>AE20+AE21</f>
        <v/>
      </c>
      <c r="AF22" s="4">
        <f>AF20+AF21</f>
        <v/>
      </c>
      <c r="AG22" s="4">
        <f>AG20+AG21</f>
        <v/>
      </c>
      <c r="AH22" s="4">
        <f>AH20+AH21</f>
        <v/>
      </c>
      <c r="AI22" s="4">
        <f>AI20+AI21</f>
        <v/>
      </c>
      <c r="AJ22" s="4">
        <f>AJ20+AJ21</f>
        <v/>
      </c>
      <c r="AK22" s="4">
        <f>AK20+AK21</f>
        <v/>
      </c>
      <c r="AL22" s="4">
        <f>AL20+AL21</f>
        <v/>
      </c>
      <c r="AM22" s="4">
        <f>AM20+AM21</f>
        <v/>
      </c>
      <c r="AN22" s="4">
        <f>AN20+AN21</f>
        <v/>
      </c>
      <c r="AO22" s="4">
        <f>AO20+AO21</f>
        <v/>
      </c>
      <c r="AP22" s="4">
        <f>AP20+AP21</f>
        <v/>
      </c>
      <c r="AQ22" s="4">
        <f>AQ20+AQ21</f>
        <v/>
      </c>
      <c r="AR22" s="4">
        <f>AR20+AR21</f>
        <v/>
      </c>
      <c r="AS22" s="4">
        <f>AS20+AS21</f>
        <v/>
      </c>
      <c r="AT22" s="4">
        <f>AT20+AT21</f>
        <v/>
      </c>
      <c r="AU22" s="4">
        <f>AU20+AU21</f>
        <v/>
      </c>
    </row>
    <row r="23">
      <c r="A23" s="8" t="inlineStr">
        <is>
          <t>Ratio tariff impact (normalised to 2020)</t>
        </is>
      </c>
      <c r="B23" s="9">
        <f>B22/$B22</f>
        <v/>
      </c>
      <c r="C23" s="9">
        <f>C22/$B22</f>
        <v/>
      </c>
      <c r="D23" s="9">
        <f>D22/$B22</f>
        <v/>
      </c>
      <c r="E23" s="9">
        <f>E22/$B22</f>
        <v/>
      </c>
      <c r="F23" s="9">
        <f>F22/$B22</f>
        <v/>
      </c>
      <c r="G23" s="9">
        <f>G22/$B22</f>
        <v/>
      </c>
      <c r="H23" s="9">
        <f>H22/$B22</f>
        <v/>
      </c>
      <c r="I23" s="9">
        <f>I22/$B22</f>
        <v/>
      </c>
      <c r="J23" s="9">
        <f>J22/$B22</f>
        <v/>
      </c>
      <c r="K23" s="9">
        <f>K22/$B22</f>
        <v/>
      </c>
      <c r="L23" s="9">
        <f>L22/$B22</f>
        <v/>
      </c>
      <c r="M23" s="9">
        <f>M22/$B22</f>
        <v/>
      </c>
      <c r="N23" s="9">
        <f>N22/$B22</f>
        <v/>
      </c>
      <c r="O23" s="9">
        <f>O22/$B22</f>
        <v/>
      </c>
      <c r="P23" s="9">
        <f>P22/$B22</f>
        <v/>
      </c>
      <c r="Q23" s="9">
        <f>Q22/$B22</f>
        <v/>
      </c>
      <c r="R23" s="9">
        <f>R22/$B22</f>
        <v/>
      </c>
      <c r="S23" s="9">
        <f>S22/$B22</f>
        <v/>
      </c>
      <c r="T23" s="9">
        <f>T22/$B22</f>
        <v/>
      </c>
      <c r="U23" s="9">
        <f>U22/$B22</f>
        <v/>
      </c>
      <c r="V23" s="9">
        <f>V22/$B22</f>
        <v/>
      </c>
      <c r="W23" s="9">
        <f>W22/$B22</f>
        <v/>
      </c>
      <c r="X23" s="9">
        <f>X22/$B22</f>
        <v/>
      </c>
      <c r="Y23" s="9">
        <f>Y22/$B22</f>
        <v/>
      </c>
      <c r="Z23" s="9">
        <f>Z22/$B22</f>
        <v/>
      </c>
      <c r="AA23" s="9">
        <f>AA22/$B22</f>
        <v/>
      </c>
      <c r="AB23" s="9">
        <f>AB22/$B22</f>
        <v/>
      </c>
      <c r="AC23" s="9">
        <f>AC22/$B22</f>
        <v/>
      </c>
      <c r="AD23" s="9">
        <f>AD22/$B22</f>
        <v/>
      </c>
      <c r="AE23" s="9">
        <f>AE22/$B22</f>
        <v/>
      </c>
      <c r="AF23" s="9">
        <f>AF22/$B22</f>
        <v/>
      </c>
      <c r="AG23" s="9">
        <f>AG22/$B22</f>
        <v/>
      </c>
      <c r="AH23" s="9">
        <f>AH22/$B22</f>
        <v/>
      </c>
      <c r="AI23" s="9">
        <f>AI22/$B22</f>
        <v/>
      </c>
      <c r="AJ23" s="9">
        <f>AJ22/$B22</f>
        <v/>
      </c>
      <c r="AK23" s="9">
        <f>AK22/$B22</f>
        <v/>
      </c>
      <c r="AL23" s="9">
        <f>AL22/$B22</f>
        <v/>
      </c>
      <c r="AM23" s="9">
        <f>AM22/$B22</f>
        <v/>
      </c>
      <c r="AN23" s="9">
        <f>AN22/$B22</f>
        <v/>
      </c>
      <c r="AO23" s="9">
        <f>AO22/$B22</f>
        <v/>
      </c>
      <c r="AP23" s="9">
        <f>AP22/$B22</f>
        <v/>
      </c>
      <c r="AQ23" s="9">
        <f>AQ22/$B22</f>
        <v/>
      </c>
      <c r="AR23" s="9">
        <f>AR22/$B22</f>
        <v/>
      </c>
      <c r="AS23" s="9">
        <f>AS22/$B22</f>
        <v/>
      </c>
      <c r="AT23" s="9">
        <f>AT22/$B22</f>
        <v/>
      </c>
      <c r="AU23" s="9">
        <f>AU22/$B22</f>
        <v/>
      </c>
    </row>
    <row r="24">
      <c r="B24" s="12">
        <f>B20/B22</f>
        <v/>
      </c>
      <c r="C24" s="12">
        <f>C20/C22</f>
        <v/>
      </c>
      <c r="D24" s="12">
        <f>D20/D22</f>
        <v/>
      </c>
      <c r="E24" s="12">
        <f>E20/E22</f>
        <v/>
      </c>
      <c r="F24" s="12">
        <f>F20/F22</f>
        <v/>
      </c>
      <c r="G24" s="12">
        <f>G20/G22</f>
        <v/>
      </c>
      <c r="H24" s="12">
        <f>H20/H22</f>
        <v/>
      </c>
      <c r="I24" s="12">
        <f>I20/I22</f>
        <v/>
      </c>
      <c r="J24" s="12">
        <f>J20/J22</f>
        <v/>
      </c>
      <c r="K24" s="12">
        <f>K20/K22</f>
        <v/>
      </c>
      <c r="L24" s="12">
        <f>L20/L22</f>
        <v/>
      </c>
      <c r="M24" s="12">
        <f>M20/M22</f>
        <v/>
      </c>
      <c r="N24" s="12">
        <f>N20/N22</f>
        <v/>
      </c>
      <c r="O24" s="12">
        <f>O20/O22</f>
        <v/>
      </c>
      <c r="P24" s="12">
        <f>P20/P22</f>
        <v/>
      </c>
      <c r="Q24" s="12">
        <f>Q20/Q22</f>
        <v/>
      </c>
      <c r="R24" s="12">
        <f>R20/R22</f>
        <v/>
      </c>
      <c r="S24" s="12">
        <f>S20/S22</f>
        <v/>
      </c>
      <c r="T24" s="12">
        <f>T20/T22</f>
        <v/>
      </c>
      <c r="U24" s="12">
        <f>U20/U22</f>
        <v/>
      </c>
      <c r="V24" s="12">
        <f>V20/V22</f>
        <v/>
      </c>
      <c r="W24" s="12">
        <f>W20/W22</f>
        <v/>
      </c>
      <c r="X24" s="12">
        <f>X20/X22</f>
        <v/>
      </c>
      <c r="Y24" s="12">
        <f>Y20/Y22</f>
        <v/>
      </c>
      <c r="Z24" s="12">
        <f>Z20/Z22</f>
        <v/>
      </c>
      <c r="AA24" s="12">
        <f>AA20/AA22</f>
        <v/>
      </c>
      <c r="AB24" s="12">
        <f>AB20/AB22</f>
        <v/>
      </c>
      <c r="AC24" s="12">
        <f>AC20/AC22</f>
        <v/>
      </c>
      <c r="AD24" s="12">
        <f>AD20/AD22</f>
        <v/>
      </c>
      <c r="AE24" s="12">
        <f>AE20/AE22</f>
        <v/>
      </c>
      <c r="AF24" s="12">
        <f>AF20/AF22</f>
        <v/>
      </c>
      <c r="AG24" s="12">
        <f>AG20/AG22</f>
        <v/>
      </c>
      <c r="AH24" s="12">
        <f>AH20/AH22</f>
        <v/>
      </c>
      <c r="AI24" s="12">
        <f>AI20/AI22</f>
        <v/>
      </c>
      <c r="AJ24" s="12">
        <f>AJ20/AJ22</f>
        <v/>
      </c>
      <c r="AK24" s="12">
        <f>AK20/AK22</f>
        <v/>
      </c>
      <c r="AL24" s="12">
        <f>AL20/AL22</f>
        <v/>
      </c>
      <c r="AM24" s="12">
        <f>AM20/AM22</f>
        <v/>
      </c>
      <c r="AN24" s="12">
        <f>AN20/AN22</f>
        <v/>
      </c>
      <c r="AO24" s="12">
        <f>AO20/AO22</f>
        <v/>
      </c>
      <c r="AP24" s="12">
        <f>AP20/AP22</f>
        <v/>
      </c>
      <c r="AQ24" s="12">
        <f>AQ20/AQ22</f>
        <v/>
      </c>
      <c r="AR24" s="12">
        <f>AR20/AR22</f>
        <v/>
      </c>
      <c r="AS24" s="12">
        <f>AS20/AS22</f>
        <v/>
      </c>
      <c r="AT24" s="12">
        <f>AT20/AT22</f>
        <v/>
      </c>
      <c r="AU24" s="12">
        <f>AU20/AU22</f>
        <v/>
      </c>
    </row>
    <row r="27">
      <c r="A27" s="16" t="inlineStr">
        <is>
          <t>Price impact calculation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B28" s="12" t="n"/>
      <c r="C28" s="12" t="n"/>
      <c r="D28" s="12" t="n"/>
      <c r="E28" s="1" t="n"/>
      <c r="F28" s="1" t="n">
        <v>2020</v>
      </c>
      <c r="G28" s="1" t="n">
        <v>2030</v>
      </c>
      <c r="H28" s="1" t="n">
        <v>2040</v>
      </c>
      <c r="I28" s="1" t="n">
        <v>2050</v>
      </c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</row>
    <row r="29">
      <c r="A29" s="1" t="inlineStr">
        <is>
          <t>today's distribution tariff</t>
        </is>
      </c>
      <c r="B29" s="11" t="n">
        <v>53</v>
      </c>
      <c r="C29" s="12" t="inlineStr">
        <is>
          <t>EUR/MWh</t>
        </is>
      </c>
      <c r="D29" s="12" t="n"/>
      <c r="E29" s="12" t="inlineStr">
        <is>
          <t>TWh</t>
        </is>
      </c>
      <c r="F29" s="11" t="n">
        <v>2589.565211</v>
      </c>
      <c r="G29" s="11" t="n">
        <v>3721.757619053877</v>
      </c>
      <c r="H29" s="11" t="n">
        <v>4188.002759515592</v>
      </c>
      <c r="I29" s="11" t="n">
        <v>4629.943959174688</v>
      </c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</row>
    <row r="30">
      <c r="A30" s="1" t="inlineStr">
        <is>
          <t>2020 elec consumption</t>
        </is>
      </c>
      <c r="B30" s="2" t="n">
        <v>2590</v>
      </c>
      <c r="C30" t="inlineStr">
        <is>
          <t>TWh</t>
        </is>
      </c>
      <c r="E30" t="inlineStr">
        <is>
          <t>TWh DSO</t>
        </is>
      </c>
      <c r="F30" s="11">
        <f>F29*$B$31</f>
        <v/>
      </c>
      <c r="G30" s="11">
        <f>G29*$B$31</f>
        <v/>
      </c>
      <c r="H30" s="11">
        <f>H29*$B$31</f>
        <v/>
      </c>
      <c r="I30" s="11">
        <f>I29*$B$31</f>
        <v/>
      </c>
    </row>
    <row r="31">
      <c r="A31" s="1" t="inlineStr">
        <is>
          <t>Assumption DSO share consumption</t>
        </is>
      </c>
      <c r="B31" s="2" t="n">
        <v>0.8</v>
      </c>
      <c r="E31" t="inlineStr">
        <is>
          <t>Ratio Consumption</t>
        </is>
      </c>
      <c r="F31" s="21">
        <f>F30/$F30</f>
        <v/>
      </c>
      <c r="G31" s="21">
        <f>G30/$F30</f>
        <v/>
      </c>
      <c r="H31" s="21">
        <f>H30/$F30</f>
        <v/>
      </c>
      <c r="I31" s="21">
        <f>I30/$F30</f>
        <v/>
      </c>
    </row>
    <row r="32">
      <c r="A32" s="1" t="inlineStr">
        <is>
          <t>Estimated DSO revenue</t>
        </is>
      </c>
      <c r="B32" s="14">
        <f>B30*B31*10^6*B29*10^-9</f>
        <v/>
      </c>
      <c r="C32" t="inlineStr">
        <is>
          <t>billion EUR</t>
        </is>
      </c>
      <c r="E32" s="12" t="inlineStr">
        <is>
          <t>Ratio revenue</t>
        </is>
      </c>
      <c r="F32" s="13">
        <f>B23</f>
        <v/>
      </c>
      <c r="G32" s="13">
        <f>L23</f>
        <v/>
      </c>
      <c r="H32" s="13">
        <f>V23</f>
        <v/>
      </c>
      <c r="I32" s="13">
        <f>AF23</f>
        <v/>
      </c>
    </row>
    <row r="33">
      <c r="A33" s="19" t="inlineStr">
        <is>
          <t>Check error against Max Allowable Revenue from revenue model</t>
        </is>
      </c>
      <c r="B33" s="20">
        <f>(B32-B22)/B32</f>
        <v/>
      </c>
      <c r="E33" t="inlineStr">
        <is>
          <t>revenue</t>
        </is>
      </c>
      <c r="F33" s="14">
        <f>B32</f>
        <v/>
      </c>
      <c r="G33" s="14">
        <f>$F33*G32</f>
        <v/>
      </c>
      <c r="H33" s="14">
        <f>$F33*H32</f>
        <v/>
      </c>
      <c r="I33" s="14">
        <f>$F33*I32</f>
        <v/>
      </c>
    </row>
    <row r="34">
      <c r="E34" t="inlineStr">
        <is>
          <t>distribution charges (EUR/MWh)</t>
        </is>
      </c>
      <c r="F34" s="14">
        <f>F33*1000/F30</f>
        <v/>
      </c>
      <c r="G34" s="14">
        <f>G33*1000/G30</f>
        <v/>
      </c>
      <c r="H34" s="14">
        <f>H33*1000/H30</f>
        <v/>
      </c>
      <c r="I34" s="14">
        <f>I33*1000/I30</f>
        <v/>
      </c>
    </row>
    <row r="36">
      <c r="A36" t="inlineStr">
        <is>
          <t>Verbal Input on share of distribution consumption in national total</t>
        </is>
      </c>
      <c r="B36" t="inlineStr">
        <is>
          <t>France</t>
        </is>
      </c>
      <c r="C36" t="inlineStr">
        <is>
          <t>Italy</t>
        </is>
      </c>
      <c r="F36" s="1" t="n">
        <v>2018</v>
      </c>
      <c r="G36" s="1" t="n">
        <v>2030</v>
      </c>
      <c r="H36" s="1" t="n">
        <v>2040</v>
      </c>
      <c r="I36" s="1" t="n">
        <v>2050</v>
      </c>
    </row>
    <row r="37">
      <c r="A37" t="inlineStr">
        <is>
          <t xml:space="preserve">Share of electricity </t>
        </is>
      </c>
      <c r="B37" t="n">
        <v>80</v>
      </c>
      <c r="C37" t="n">
        <v>80</v>
      </c>
    </row>
    <row r="39">
      <c r="A39" t="inlineStr">
        <is>
          <t>Eurostat - T&amp;D tariff</t>
        </is>
      </c>
      <c r="B39" t="n">
        <v>66</v>
      </c>
      <c r="C39" t="n">
        <v>2022</v>
      </c>
      <c r="I39">
        <f>32*3.3</f>
        <v/>
      </c>
    </row>
    <row r="40">
      <c r="I40">
        <f>129+105</f>
        <v/>
      </c>
    </row>
    <row r="41">
      <c r="B41" s="18" t="n"/>
      <c r="I41">
        <f>I40/3.7</f>
        <v/>
      </c>
    </row>
    <row r="45">
      <c r="F45" t="n">
        <v>1.82</v>
      </c>
    </row>
    <row r="46">
      <c r="F46">
        <f>4630/2590</f>
        <v/>
      </c>
    </row>
    <row r="47">
      <c r="F47">
        <f>1.82/1.7876</f>
        <v/>
      </c>
    </row>
    <row r="48">
      <c r="F48">
        <f>54/53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4.5"/>
  <cols>
    <col width="39.1796875" customWidth="1" min="1" max="1"/>
    <col width="11.81640625" bestFit="1" customWidth="1" min="2" max="2"/>
  </cols>
  <sheetData>
    <row r="1">
      <c r="B1" s="2" t="inlineStr">
        <is>
          <t>INPUT</t>
        </is>
      </c>
    </row>
    <row r="2">
      <c r="B2" s="3" t="inlineStr">
        <is>
          <t>CALC</t>
        </is>
      </c>
    </row>
    <row r="4">
      <c r="A4" s="16" t="inlineStr">
        <is>
          <t>Simplified model of DSO allowable revenue for Europe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6">
      <c r="A6" t="inlineStr">
        <is>
          <t>Max allowable revenue</t>
        </is>
      </c>
      <c r="B6" t="inlineStr">
        <is>
          <t>(RAB*WACC)+Depreciation+ OPEX</t>
        </is>
      </c>
    </row>
    <row r="8">
      <c r="A8" s="1" t="inlineStr">
        <is>
          <t>WACC</t>
        </is>
      </c>
      <c r="B8" s="6" t="n">
        <v>0.054</v>
      </c>
    </row>
    <row r="9">
      <c r="A9" s="1" t="inlineStr">
        <is>
          <t>Average Asset Lifetime</t>
        </is>
      </c>
      <c r="B9" s="2" t="n">
        <v>42</v>
      </c>
      <c r="E9" t="inlineStr">
        <is>
          <t>Verbal Input on Share of CAPEX in allowance revenue</t>
        </is>
      </c>
    </row>
    <row r="10">
      <c r="A10" s="1" t="inlineStr">
        <is>
          <t>Depreciation rate</t>
        </is>
      </c>
      <c r="B10" s="7">
        <f>1/B9</f>
        <v/>
      </c>
      <c r="E10" t="inlineStr">
        <is>
          <t>Germany</t>
        </is>
      </c>
      <c r="F10" t="inlineStr">
        <is>
          <t>Italy</t>
        </is>
      </c>
      <c r="G10" t="inlineStr">
        <is>
          <t>Ireland</t>
        </is>
      </c>
      <c r="H10" t="inlineStr">
        <is>
          <t>Portugal</t>
        </is>
      </c>
    </row>
    <row r="11">
      <c r="A11" s="1" t="inlineStr">
        <is>
          <t>Share of CAPEX in allowable revenue</t>
        </is>
      </c>
      <c r="B11" s="10" t="n">
        <v>0.5</v>
      </c>
      <c r="E11" t="n">
        <v>40</v>
      </c>
      <c r="F11" t="n">
        <v>66</v>
      </c>
      <c r="G11" t="n">
        <v>80</v>
      </c>
      <c r="H11" t="n">
        <v>40</v>
      </c>
    </row>
    <row r="12">
      <c r="A12" s="1" t="inlineStr">
        <is>
          <t>OPEX Growth</t>
        </is>
      </c>
      <c r="B12" s="10" t="n">
        <v>0.01</v>
      </c>
    </row>
    <row r="13">
      <c r="A13" s="1" t="inlineStr">
        <is>
          <t>Starting RAB Europe</t>
        </is>
      </c>
      <c r="B13" s="2" t="n">
        <v>700</v>
      </c>
      <c r="C13" t="inlineStr">
        <is>
          <t>B EUR</t>
        </is>
      </c>
    </row>
    <row r="15">
      <c r="A15" s="5" t="inlineStr">
        <is>
          <t>B EUR</t>
        </is>
      </c>
      <c r="B15" s="5" t="n">
        <v>2020</v>
      </c>
      <c r="C15" s="5" t="n">
        <v>2021</v>
      </c>
      <c r="D15" s="5" t="n">
        <v>2022</v>
      </c>
      <c r="E15" s="5" t="n">
        <v>2023</v>
      </c>
      <c r="F15" s="5" t="n">
        <v>2024</v>
      </c>
      <c r="G15" s="5" t="n">
        <v>2025</v>
      </c>
      <c r="H15" s="5" t="n">
        <v>2026</v>
      </c>
      <c r="I15" s="5" t="n">
        <v>2027</v>
      </c>
      <c r="J15" s="5" t="n">
        <v>2028</v>
      </c>
      <c r="K15" s="5" t="n">
        <v>2029</v>
      </c>
      <c r="L15" s="5" t="n">
        <v>2030</v>
      </c>
      <c r="M15" s="5" t="n">
        <v>2031</v>
      </c>
      <c r="N15" s="5" t="n">
        <v>2032</v>
      </c>
      <c r="O15" s="5" t="n">
        <v>2033</v>
      </c>
      <c r="P15" s="5" t="n">
        <v>2034</v>
      </c>
      <c r="Q15" s="5" t="n">
        <v>2035</v>
      </c>
      <c r="R15" s="5" t="n">
        <v>2036</v>
      </c>
      <c r="S15" s="5" t="n">
        <v>2037</v>
      </c>
      <c r="T15" s="5" t="n">
        <v>2038</v>
      </c>
      <c r="U15" s="5" t="n">
        <v>2039</v>
      </c>
      <c r="V15" s="5" t="n">
        <v>2040</v>
      </c>
      <c r="W15" s="5" t="n">
        <v>2041</v>
      </c>
      <c r="X15" s="5" t="n">
        <v>2042</v>
      </c>
      <c r="Y15" s="5" t="n">
        <v>2043</v>
      </c>
      <c r="Z15" s="5" t="n">
        <v>2044</v>
      </c>
      <c r="AA15" s="5" t="n">
        <v>2045</v>
      </c>
      <c r="AB15" s="5" t="n">
        <v>2046</v>
      </c>
      <c r="AC15" s="5" t="n">
        <v>2047</v>
      </c>
      <c r="AD15" s="5" t="n">
        <v>2048</v>
      </c>
      <c r="AE15" s="5" t="n">
        <v>2049</v>
      </c>
      <c r="AF15" s="5" t="n">
        <v>2050</v>
      </c>
      <c r="AG15" s="5" t="n">
        <v>2051</v>
      </c>
      <c r="AH15" s="5" t="n">
        <v>2052</v>
      </c>
      <c r="AI15" s="5" t="n">
        <v>2053</v>
      </c>
      <c r="AJ15" s="5" t="n">
        <v>2054</v>
      </c>
      <c r="AK15" s="5" t="n">
        <v>2055</v>
      </c>
      <c r="AL15" s="5" t="n">
        <v>2056</v>
      </c>
      <c r="AM15" s="5" t="n">
        <v>2057</v>
      </c>
      <c r="AN15" s="5" t="n">
        <v>2058</v>
      </c>
      <c r="AO15" s="5" t="n">
        <v>2059</v>
      </c>
      <c r="AP15" s="5" t="n">
        <v>2060</v>
      </c>
      <c r="AQ15" s="5" t="n">
        <v>2061</v>
      </c>
      <c r="AR15" s="5" t="n">
        <v>2062</v>
      </c>
      <c r="AS15" s="5" t="n">
        <v>2063</v>
      </c>
      <c r="AT15" s="5" t="n">
        <v>2064</v>
      </c>
      <c r="AU15" s="5" t="n">
        <v>2065</v>
      </c>
    </row>
    <row r="16">
      <c r="A16" s="5" t="inlineStr">
        <is>
          <t>Opening RAB</t>
        </is>
      </c>
      <c r="B16" s="3">
        <f>B13</f>
        <v/>
      </c>
      <c r="C16" s="4">
        <f>B19</f>
        <v/>
      </c>
      <c r="D16" s="4">
        <f>C19</f>
        <v/>
      </c>
      <c r="E16" s="4">
        <f>D19</f>
        <v/>
      </c>
      <c r="F16" s="4">
        <f>E19</f>
        <v/>
      </c>
      <c r="G16" s="4">
        <f>F19</f>
        <v/>
      </c>
      <c r="H16" s="4">
        <f>G19</f>
        <v/>
      </c>
      <c r="I16" s="4">
        <f>H19</f>
        <v/>
      </c>
      <c r="J16" s="4">
        <f>I19</f>
        <v/>
      </c>
      <c r="K16" s="4">
        <f>J19</f>
        <v/>
      </c>
      <c r="L16" s="4">
        <f>K19</f>
        <v/>
      </c>
      <c r="M16" s="4">
        <f>L19</f>
        <v/>
      </c>
      <c r="N16" s="4">
        <f>M19</f>
        <v/>
      </c>
      <c r="O16" s="4">
        <f>N19</f>
        <v/>
      </c>
      <c r="P16" s="4">
        <f>O19</f>
        <v/>
      </c>
      <c r="Q16" s="4">
        <f>P19</f>
        <v/>
      </c>
      <c r="R16" s="4">
        <f>Q19</f>
        <v/>
      </c>
      <c r="S16" s="4">
        <f>R19</f>
        <v/>
      </c>
      <c r="T16" s="4">
        <f>S19</f>
        <v/>
      </c>
      <c r="U16" s="4">
        <f>T19</f>
        <v/>
      </c>
      <c r="V16" s="4">
        <f>U19</f>
        <v/>
      </c>
      <c r="W16" s="4">
        <f>V19</f>
        <v/>
      </c>
      <c r="X16" s="4">
        <f>W19</f>
        <v/>
      </c>
      <c r="Y16" s="4">
        <f>X19</f>
        <v/>
      </c>
      <c r="Z16" s="4">
        <f>Y19</f>
        <v/>
      </c>
      <c r="AA16" s="4">
        <f>Z19</f>
        <v/>
      </c>
      <c r="AB16" s="4">
        <f>AA19</f>
        <v/>
      </c>
      <c r="AC16" s="4">
        <f>AB19</f>
        <v/>
      </c>
      <c r="AD16" s="4">
        <f>AC19</f>
        <v/>
      </c>
      <c r="AE16" s="4">
        <f>AD19</f>
        <v/>
      </c>
      <c r="AF16" s="4">
        <f>AE19</f>
        <v/>
      </c>
      <c r="AG16" s="4">
        <f>AF19</f>
        <v/>
      </c>
      <c r="AH16" s="4">
        <f>AG19</f>
        <v/>
      </c>
      <c r="AI16" s="4">
        <f>AH19</f>
        <v/>
      </c>
      <c r="AJ16" s="4">
        <f>AI19</f>
        <v/>
      </c>
      <c r="AK16" s="4">
        <f>AJ19</f>
        <v/>
      </c>
      <c r="AL16" s="4">
        <f>AK19</f>
        <v/>
      </c>
      <c r="AM16" s="4">
        <f>AL19</f>
        <v/>
      </c>
      <c r="AN16" s="4">
        <f>AM19</f>
        <v/>
      </c>
      <c r="AO16" s="4">
        <f>AN19</f>
        <v/>
      </c>
      <c r="AP16" s="4">
        <f>AO19</f>
        <v/>
      </c>
      <c r="AQ16" s="4">
        <f>AP19</f>
        <v/>
      </c>
      <c r="AR16" s="4">
        <f>AQ19</f>
        <v/>
      </c>
      <c r="AS16" s="4">
        <f>AR19</f>
        <v/>
      </c>
      <c r="AT16" s="4">
        <f>AS19</f>
        <v/>
      </c>
      <c r="AU16" s="4">
        <f>AT19</f>
        <v/>
      </c>
    </row>
    <row r="17">
      <c r="A17" s="5" t="inlineStr">
        <is>
          <t>CAPEX addition</t>
        </is>
      </c>
      <c r="B17" s="2" t="n">
        <v>29</v>
      </c>
      <c r="C17" s="2" t="n">
        <v>32</v>
      </c>
      <c r="D17" s="2" t="n">
        <v>35</v>
      </c>
      <c r="E17" s="2" t="n">
        <v>36</v>
      </c>
      <c r="F17" s="2" t="n">
        <v>40</v>
      </c>
      <c r="G17" s="2" t="n">
        <v>60</v>
      </c>
      <c r="H17" s="2" t="n">
        <v>64.5533876528628</v>
      </c>
      <c r="I17" s="2" t="n">
        <v>64.5533876528628</v>
      </c>
      <c r="J17" s="2" t="n">
        <v>64.5533876528628</v>
      </c>
      <c r="K17" s="2" t="n">
        <v>64.5533876528628</v>
      </c>
      <c r="L17" s="2" t="n">
        <v>64.5533876528628</v>
      </c>
      <c r="M17" s="2" t="n">
        <v>14.92954667026022</v>
      </c>
      <c r="N17" s="2" t="n">
        <v>14.92954667026022</v>
      </c>
      <c r="O17" s="2" t="n">
        <v>14.92954667026022</v>
      </c>
      <c r="P17" s="2" t="n">
        <v>14.92954667026022</v>
      </c>
      <c r="Q17" s="2" t="n">
        <v>14.92954667026022</v>
      </c>
      <c r="R17" s="2" t="n">
        <v>14.92954667026022</v>
      </c>
      <c r="S17" s="2" t="n">
        <v>14.92954667026022</v>
      </c>
      <c r="T17" s="2" t="n">
        <v>14.92954667026022</v>
      </c>
      <c r="U17" s="2" t="n">
        <v>14.92954667026022</v>
      </c>
      <c r="V17" s="2" t="n">
        <v>14.92954667026022</v>
      </c>
      <c r="W17" s="2" t="n">
        <v>60</v>
      </c>
      <c r="X17" s="2" t="n">
        <v>60</v>
      </c>
      <c r="Y17" s="2" t="n">
        <v>60</v>
      </c>
      <c r="Z17" s="2" t="n">
        <v>60</v>
      </c>
      <c r="AA17" s="2" t="n">
        <v>60</v>
      </c>
      <c r="AB17" s="2" t="n">
        <v>60</v>
      </c>
      <c r="AC17" s="2" t="n">
        <v>60</v>
      </c>
      <c r="AD17" s="2" t="n">
        <v>60</v>
      </c>
      <c r="AE17" s="2" t="n">
        <v>60</v>
      </c>
      <c r="AF17" s="2" t="n">
        <v>60</v>
      </c>
      <c r="AG17" s="2" t="n">
        <v>60</v>
      </c>
      <c r="AH17" s="2" t="n">
        <v>60</v>
      </c>
      <c r="AI17" s="2" t="n">
        <v>60</v>
      </c>
      <c r="AJ17" s="2" t="n">
        <v>60</v>
      </c>
      <c r="AK17" s="2" t="n">
        <v>60</v>
      </c>
      <c r="AL17" s="2" t="n">
        <v>60</v>
      </c>
      <c r="AM17" s="2" t="n">
        <v>60</v>
      </c>
      <c r="AN17" s="2" t="n">
        <v>60</v>
      </c>
      <c r="AO17" s="2" t="n">
        <v>60</v>
      </c>
      <c r="AP17" s="2" t="n">
        <v>60</v>
      </c>
      <c r="AQ17" s="2" t="n">
        <v>60</v>
      </c>
      <c r="AR17" s="2" t="n">
        <v>60</v>
      </c>
      <c r="AS17" s="2" t="n">
        <v>60</v>
      </c>
      <c r="AT17" s="2" t="n">
        <v>60</v>
      </c>
      <c r="AU17" s="2" t="n">
        <v>60</v>
      </c>
    </row>
    <row r="18">
      <c r="A18" s="5" t="inlineStr">
        <is>
          <t>Depreciation</t>
        </is>
      </c>
      <c r="B18" s="4">
        <f>(B16*$B10)</f>
        <v/>
      </c>
      <c r="C18" s="4">
        <f>(C16*$B10)</f>
        <v/>
      </c>
      <c r="D18" s="4">
        <f>(D16*$B10)</f>
        <v/>
      </c>
      <c r="E18" s="4">
        <f>(E16*$B10)</f>
        <v/>
      </c>
      <c r="F18" s="4">
        <f>(F16*$B10)</f>
        <v/>
      </c>
      <c r="G18" s="4">
        <f>(G16*$B10)</f>
        <v/>
      </c>
      <c r="H18" s="4">
        <f>(H16*$B10)</f>
        <v/>
      </c>
      <c r="I18" s="4">
        <f>(I16*$B10)</f>
        <v/>
      </c>
      <c r="J18" s="4">
        <f>(J16*$B10)</f>
        <v/>
      </c>
      <c r="K18" s="4">
        <f>(K16*$B10)</f>
        <v/>
      </c>
      <c r="L18" s="4">
        <f>(L16*$B10)</f>
        <v/>
      </c>
      <c r="M18" s="15">
        <f>L18</f>
        <v/>
      </c>
      <c r="N18" s="15">
        <f>M18</f>
        <v/>
      </c>
      <c r="O18" s="15">
        <f>N18</f>
        <v/>
      </c>
      <c r="P18" s="15">
        <f>O18</f>
        <v/>
      </c>
      <c r="Q18" s="15">
        <f>P18</f>
        <v/>
      </c>
      <c r="R18" s="15">
        <f>Q18</f>
        <v/>
      </c>
      <c r="S18" s="15">
        <f>R18</f>
        <v/>
      </c>
      <c r="T18" s="15">
        <f>S18</f>
        <v/>
      </c>
      <c r="U18" s="15">
        <f>T18</f>
        <v/>
      </c>
      <c r="V18" s="15">
        <f>U18</f>
        <v/>
      </c>
      <c r="W18" s="15">
        <f>V18</f>
        <v/>
      </c>
      <c r="X18" s="15">
        <f>W18</f>
        <v/>
      </c>
      <c r="Y18" s="15">
        <f>X18</f>
        <v/>
      </c>
      <c r="Z18" s="15">
        <f>Y18</f>
        <v/>
      </c>
      <c r="AA18" s="15">
        <f>Z18</f>
        <v/>
      </c>
      <c r="AB18" s="15">
        <f>AA18</f>
        <v/>
      </c>
      <c r="AC18" s="15">
        <f>AB18</f>
        <v/>
      </c>
      <c r="AD18" s="15">
        <f>AC18</f>
        <v/>
      </c>
      <c r="AE18" s="15">
        <f>AD18</f>
        <v/>
      </c>
      <c r="AF18" s="15">
        <f>AE18</f>
        <v/>
      </c>
      <c r="AG18" s="15">
        <f>AF18</f>
        <v/>
      </c>
      <c r="AH18" s="15">
        <f>AG18</f>
        <v/>
      </c>
      <c r="AI18" s="15">
        <f>AH18</f>
        <v/>
      </c>
      <c r="AJ18" s="15">
        <f>AI18</f>
        <v/>
      </c>
      <c r="AK18" s="15">
        <f>AJ18</f>
        <v/>
      </c>
      <c r="AL18" s="15">
        <f>AK18</f>
        <v/>
      </c>
      <c r="AM18" s="15">
        <f>AL18</f>
        <v/>
      </c>
      <c r="AN18" s="15">
        <f>AM18</f>
        <v/>
      </c>
      <c r="AO18" s="15">
        <f>AN18</f>
        <v/>
      </c>
      <c r="AP18" s="15">
        <f>AO18</f>
        <v/>
      </c>
      <c r="AQ18" s="15">
        <f>AP18</f>
        <v/>
      </c>
      <c r="AR18" s="15">
        <f>AQ18</f>
        <v/>
      </c>
      <c r="AS18" s="15">
        <f>AR18</f>
        <v/>
      </c>
      <c r="AT18" s="15">
        <f>AS18</f>
        <v/>
      </c>
      <c r="AU18" s="15">
        <f>AT18</f>
        <v/>
      </c>
    </row>
    <row r="19">
      <c r="A19" s="5" t="inlineStr">
        <is>
          <t>New RAB</t>
        </is>
      </c>
      <c r="B19" s="4">
        <f>B16+B17-B18</f>
        <v/>
      </c>
      <c r="C19" s="4">
        <f>C16+C17-C18</f>
        <v/>
      </c>
      <c r="D19" s="4">
        <f>D16+D17-D18</f>
        <v/>
      </c>
      <c r="E19" s="4">
        <f>E16+E17-E18</f>
        <v/>
      </c>
      <c r="F19" s="4">
        <f>F16+F17-F18</f>
        <v/>
      </c>
      <c r="G19" s="4">
        <f>G16+G17-G18</f>
        <v/>
      </c>
      <c r="H19" s="4">
        <f>H16+H17-H18</f>
        <v/>
      </c>
      <c r="I19" s="4">
        <f>I16+I17-I18</f>
        <v/>
      </c>
      <c r="J19" s="4">
        <f>J16+J17-J18</f>
        <v/>
      </c>
      <c r="K19" s="4">
        <f>K16+K17-K18</f>
        <v/>
      </c>
      <c r="L19" s="4">
        <f>L16+L17-L18</f>
        <v/>
      </c>
      <c r="M19" s="4">
        <f>M16+M17-M18</f>
        <v/>
      </c>
      <c r="N19" s="4">
        <f>N16+N17-N18</f>
        <v/>
      </c>
      <c r="O19" s="4">
        <f>O16+O17-O18</f>
        <v/>
      </c>
      <c r="P19" s="4">
        <f>P16+P17-P18</f>
        <v/>
      </c>
      <c r="Q19" s="4">
        <f>Q16+Q17-Q18</f>
        <v/>
      </c>
      <c r="R19" s="4">
        <f>R16+R17-R18</f>
        <v/>
      </c>
      <c r="S19" s="4">
        <f>S16+S17-S18</f>
        <v/>
      </c>
      <c r="T19" s="4">
        <f>T16+T17-T18</f>
        <v/>
      </c>
      <c r="U19" s="4">
        <f>U16+U17-U18</f>
        <v/>
      </c>
      <c r="V19" s="4">
        <f>V16+V17-V18</f>
        <v/>
      </c>
      <c r="W19" s="4">
        <f>W16+W17-W18</f>
        <v/>
      </c>
      <c r="X19" s="4">
        <f>X16+X17-X18</f>
        <v/>
      </c>
      <c r="Y19" s="4">
        <f>Y16+Y17-Y18</f>
        <v/>
      </c>
      <c r="Z19" s="4">
        <f>Z16+Z17-Z18</f>
        <v/>
      </c>
      <c r="AA19" s="4">
        <f>AA16+AA17-AA18</f>
        <v/>
      </c>
      <c r="AB19" s="4">
        <f>AB16+AB17-AB18</f>
        <v/>
      </c>
      <c r="AC19" s="4">
        <f>AC16+AC17-AC18</f>
        <v/>
      </c>
      <c r="AD19" s="4">
        <f>AD16+AD17-AD18</f>
        <v/>
      </c>
      <c r="AE19" s="4">
        <f>AE16+AE17-AE18</f>
        <v/>
      </c>
      <c r="AF19" s="4">
        <f>AF16+AF17-AF18</f>
        <v/>
      </c>
      <c r="AG19" s="4">
        <f>AG16+AG17-AG18</f>
        <v/>
      </c>
      <c r="AH19" s="4">
        <f>AH16+AH17-AH18</f>
        <v/>
      </c>
      <c r="AI19" s="4">
        <f>AI16+AI17-AI18</f>
        <v/>
      </c>
      <c r="AJ19" s="4">
        <f>AJ16+AJ17-AJ18</f>
        <v/>
      </c>
      <c r="AK19" s="4">
        <f>AK16+AK17-AK18</f>
        <v/>
      </c>
      <c r="AL19" s="4">
        <f>AL16+AL17-AL18</f>
        <v/>
      </c>
      <c r="AM19" s="4">
        <f>AM16+AM17-AM18</f>
        <v/>
      </c>
      <c r="AN19" s="4">
        <f>AN16+AN17-AN18</f>
        <v/>
      </c>
      <c r="AO19" s="4">
        <f>AO16+AO17-AO18</f>
        <v/>
      </c>
      <c r="AP19" s="4">
        <f>AP16+AP17-AP18</f>
        <v/>
      </c>
      <c r="AQ19" s="4">
        <f>AQ16+AQ17-AQ18</f>
        <v/>
      </c>
      <c r="AR19" s="4">
        <f>AR16+AR17-AR18</f>
        <v/>
      </c>
      <c r="AS19" s="4">
        <f>AS16+AS17-AS18</f>
        <v/>
      </c>
      <c r="AT19" s="4">
        <f>AT16+AT17-AT18</f>
        <v/>
      </c>
      <c r="AU19" s="4">
        <f>AU16+AU17-AU18</f>
        <v/>
      </c>
    </row>
    <row r="20">
      <c r="A20" s="5" t="inlineStr">
        <is>
          <t>Max allowable Revenue CAPEX</t>
        </is>
      </c>
      <c r="B20" s="4">
        <f>(B16+B17)*$B8+B18</f>
        <v/>
      </c>
      <c r="C20" s="4">
        <f>(C16+C17)*$B8+C18</f>
        <v/>
      </c>
      <c r="D20" s="4">
        <f>(D16+D17)*$B8+D18</f>
        <v/>
      </c>
      <c r="E20" s="4">
        <f>(E16+E17)*$B8+E18</f>
        <v/>
      </c>
      <c r="F20" s="4">
        <f>(F16+F17)*$B8+F18</f>
        <v/>
      </c>
      <c r="G20" s="4">
        <f>(G16+G17)*$B8+G18</f>
        <v/>
      </c>
      <c r="H20" s="4">
        <f>(H16+H17)*$B8+H18</f>
        <v/>
      </c>
      <c r="I20" s="4">
        <f>(I16+I17)*$B8+I18</f>
        <v/>
      </c>
      <c r="J20" s="4">
        <f>(J16+J17)*$B8+J18</f>
        <v/>
      </c>
      <c r="K20" s="4">
        <f>(K16+K17)*$B8+K18</f>
        <v/>
      </c>
      <c r="L20" s="4">
        <f>(L16+L17)*$B8+L18</f>
        <v/>
      </c>
      <c r="M20" s="4">
        <f>(M16+M17)*$B8+M18</f>
        <v/>
      </c>
      <c r="N20" s="4">
        <f>(N16+N17)*$B8+N18</f>
        <v/>
      </c>
      <c r="O20" s="4">
        <f>(O16+O17)*$B8+O18</f>
        <v/>
      </c>
      <c r="P20" s="4">
        <f>(P16+P17)*$B8+P18</f>
        <v/>
      </c>
      <c r="Q20" s="4">
        <f>(Q16+Q17)*$B8+Q18</f>
        <v/>
      </c>
      <c r="R20" s="4">
        <f>(R16+R17)*$B8+R18</f>
        <v/>
      </c>
      <c r="S20" s="4">
        <f>(S16+S17)*$B8+S18</f>
        <v/>
      </c>
      <c r="T20" s="4">
        <f>(T16+T17)*$B8+T18</f>
        <v/>
      </c>
      <c r="U20" s="4">
        <f>(U16+U17)*$B8+U18</f>
        <v/>
      </c>
      <c r="V20" s="4">
        <f>(V16+V17)*$B8+V18</f>
        <v/>
      </c>
      <c r="W20" s="4">
        <f>(W16+W17)*$B8+W18</f>
        <v/>
      </c>
      <c r="X20" s="4">
        <f>(X16+X17)*$B8+X18</f>
        <v/>
      </c>
      <c r="Y20" s="4">
        <f>(Y16+Y17)*$B8+Y18</f>
        <v/>
      </c>
      <c r="Z20" s="4">
        <f>(Z16+Z17)*$B8+Z18</f>
        <v/>
      </c>
      <c r="AA20" s="4">
        <f>(AA16+AA17)*$B8+AA18</f>
        <v/>
      </c>
      <c r="AB20" s="4">
        <f>(AB16+AB17)*$B8+AB18</f>
        <v/>
      </c>
      <c r="AC20" s="4">
        <f>(AC16+AC17)*$B8+AC18</f>
        <v/>
      </c>
      <c r="AD20" s="4">
        <f>(AD16+AD17)*$B8+AD18</f>
        <v/>
      </c>
      <c r="AE20" s="4">
        <f>(AE16+AE17)*$B8+AE18</f>
        <v/>
      </c>
      <c r="AF20" s="4">
        <f>(AF16+AF17)*$B8+AF18</f>
        <v/>
      </c>
      <c r="AG20" s="4">
        <f>(AG16+AG17)*$B8+AG18</f>
        <v/>
      </c>
      <c r="AH20" s="4">
        <f>(AH16+AH17)*$B8+AH18</f>
        <v/>
      </c>
      <c r="AI20" s="4">
        <f>(AI16+AI17)*$B8+AI18</f>
        <v/>
      </c>
      <c r="AJ20" s="4">
        <f>(AJ16+AJ17)*$B8+AJ18</f>
        <v/>
      </c>
      <c r="AK20" s="4">
        <f>(AK16+AK17)*$B8+AK18</f>
        <v/>
      </c>
      <c r="AL20" s="4">
        <f>(AL16+AL17)*$B8+AL18</f>
        <v/>
      </c>
      <c r="AM20" s="4">
        <f>(AM16+AM17)*$B8+AM18</f>
        <v/>
      </c>
      <c r="AN20" s="4">
        <f>(AN16+AN17)*$B8+AN18</f>
        <v/>
      </c>
      <c r="AO20" s="4">
        <f>(AO16+AO17)*$B8+AO18</f>
        <v/>
      </c>
      <c r="AP20" s="4">
        <f>(AP16+AP17)*$B8+AP18</f>
        <v/>
      </c>
      <c r="AQ20" s="4">
        <f>(AQ16+AQ17)*$B8+AQ18</f>
        <v/>
      </c>
      <c r="AR20" s="4">
        <f>(AR16+AR17)*$B8+AR18</f>
        <v/>
      </c>
      <c r="AS20" s="4">
        <f>(AS16+AS17)*$B8+AS18</f>
        <v/>
      </c>
      <c r="AT20" s="4">
        <f>(AT16+AT17)*$B8+AT18</f>
        <v/>
      </c>
      <c r="AU20" s="4">
        <f>(AU16+AU17)*$B8+AU18</f>
        <v/>
      </c>
    </row>
    <row r="21">
      <c r="A21" s="5" t="inlineStr">
        <is>
          <t>OPEX</t>
        </is>
      </c>
      <c r="B21" s="11">
        <f>B20*(1/B11-1)</f>
        <v/>
      </c>
      <c r="C21" s="4">
        <f>$B21*(1+$B$12)^(C15-$B15)</f>
        <v/>
      </c>
      <c r="D21" s="4">
        <f>$B21*(1+$B$12)^(D15-$B15)</f>
        <v/>
      </c>
      <c r="E21" s="4">
        <f>$B21*(1+$B$12)^(E15-$B15)</f>
        <v/>
      </c>
      <c r="F21" s="4">
        <f>$B21*(1+$B$12)^(F15-$B15)</f>
        <v/>
      </c>
      <c r="G21" s="4">
        <f>$B21*(1+$B$12)^(G15-$B15)</f>
        <v/>
      </c>
      <c r="H21" s="4">
        <f>$B21*(1+$B$12)^(H15-$B15)</f>
        <v/>
      </c>
      <c r="I21" s="4">
        <f>$B21*(1+$B$12)^(I15-$B15)</f>
        <v/>
      </c>
      <c r="J21" s="4">
        <f>$B21*(1+$B$12)^(J15-$B15)</f>
        <v/>
      </c>
      <c r="K21" s="4">
        <f>$B21*(1+$B$12)^(K15-$B15)</f>
        <v/>
      </c>
      <c r="L21" s="4">
        <f>$B21*(1+$B$12)^(L15-$B15)</f>
        <v/>
      </c>
      <c r="M21" s="4">
        <f>$B21*(1+$B$12)^(M15-$B15)</f>
        <v/>
      </c>
      <c r="N21" s="4">
        <f>$B21*(1+$B$12)^(N15-$B15)</f>
        <v/>
      </c>
      <c r="O21" s="4">
        <f>$B21*(1+$B$12)^(O15-$B15)</f>
        <v/>
      </c>
      <c r="P21" s="4">
        <f>$B21*(1+$B$12)^(P15-$B15)</f>
        <v/>
      </c>
      <c r="Q21" s="4">
        <f>$B21*(1+$B$12)^(Q15-$B15)</f>
        <v/>
      </c>
      <c r="R21" s="4">
        <f>$B21*(1+$B$12)^(R15-$B15)</f>
        <v/>
      </c>
      <c r="S21" s="4">
        <f>$B21*(1+$B$12)^(S15-$B15)</f>
        <v/>
      </c>
      <c r="T21" s="4">
        <f>$B21*(1+$B$12)^(T15-$B15)</f>
        <v/>
      </c>
      <c r="U21" s="4">
        <f>$B21*(1+$B$12)^(U15-$B15)</f>
        <v/>
      </c>
      <c r="V21" s="4">
        <f>$B21*(1+$B$12)^(V15-$B15)</f>
        <v/>
      </c>
      <c r="W21" s="4">
        <f>$B21*(1+$B$12)^(W15-$B15)</f>
        <v/>
      </c>
      <c r="X21" s="4">
        <f>$B21*(1+$B$12)^(X15-$B15)</f>
        <v/>
      </c>
      <c r="Y21" s="4">
        <f>$B21*(1+$B$12)^(Y15-$B15)</f>
        <v/>
      </c>
      <c r="Z21" s="4">
        <f>$B21*(1+$B$12)^(Z15-$B15)</f>
        <v/>
      </c>
      <c r="AA21" s="4">
        <f>$B21*(1+$B$12)^(AA15-$B15)</f>
        <v/>
      </c>
      <c r="AB21" s="4">
        <f>$B21*(1+$B$12)^(AB15-$B15)</f>
        <v/>
      </c>
      <c r="AC21" s="4">
        <f>$B21*(1+$B$12)^(AC15-$B15)</f>
        <v/>
      </c>
      <c r="AD21" s="4">
        <f>$B21*(1+$B$12)^(AD15-$B15)</f>
        <v/>
      </c>
      <c r="AE21" s="4">
        <f>$B21*(1+$B$12)^(AE15-$B15)</f>
        <v/>
      </c>
      <c r="AF21" s="4">
        <f>$B21*(1+$B$12)^(AF15-$B15)</f>
        <v/>
      </c>
      <c r="AG21" s="4">
        <f>$B21*(1+$B$12)^(AG15-$B15)</f>
        <v/>
      </c>
      <c r="AH21" s="4">
        <f>$B21*(1+$B$12)^(AH15-$B15)</f>
        <v/>
      </c>
      <c r="AI21" s="4">
        <f>$B21*(1+$B$12)^(AI15-$B15)</f>
        <v/>
      </c>
      <c r="AJ21" s="4">
        <f>$B21*(1+$B$12)^(AJ15-$B15)</f>
        <v/>
      </c>
      <c r="AK21" s="4">
        <f>$B21*(1+$B$12)^(AK15-$B15)</f>
        <v/>
      </c>
      <c r="AL21" s="4">
        <f>$B21*(1+$B$12)^(AL15-$B15)</f>
        <v/>
      </c>
      <c r="AM21" s="4">
        <f>$B21*(1+$B$12)^(AM15-$B15)</f>
        <v/>
      </c>
      <c r="AN21" s="4">
        <f>$B21*(1+$B$12)^(AN15-$B15)</f>
        <v/>
      </c>
      <c r="AO21" s="4">
        <f>$B21*(1+$B$12)^(AO15-$B15)</f>
        <v/>
      </c>
      <c r="AP21" s="4">
        <f>$B21*(1+$B$12)^(AP15-$B15)</f>
        <v/>
      </c>
      <c r="AQ21" s="4">
        <f>$B21*(1+$B$12)^(AQ15-$B15)</f>
        <v/>
      </c>
      <c r="AR21" s="4">
        <f>$B21*(1+$B$12)^(AR15-$B15)</f>
        <v/>
      </c>
      <c r="AS21" s="4">
        <f>$B21*(1+$B$12)^(AS15-$B15)</f>
        <v/>
      </c>
      <c r="AT21" s="4">
        <f>$B21*(1+$B$12)^(AT15-$B15)</f>
        <v/>
      </c>
      <c r="AU21" s="4">
        <f>$B21*(1+$B$12)^(AU15-$B15)</f>
        <v/>
      </c>
    </row>
    <row r="22">
      <c r="A22" s="5" t="inlineStr">
        <is>
          <t>Max allowable Revenue</t>
        </is>
      </c>
      <c r="B22" s="4">
        <f>B20+B21</f>
        <v/>
      </c>
      <c r="C22" s="4">
        <f>C20+C21</f>
        <v/>
      </c>
      <c r="D22" s="4">
        <f>D20+D21</f>
        <v/>
      </c>
      <c r="E22" s="4">
        <f>E20+E21</f>
        <v/>
      </c>
      <c r="F22" s="4">
        <f>F20+F21</f>
        <v/>
      </c>
      <c r="G22" s="4">
        <f>G20+G21</f>
        <v/>
      </c>
      <c r="H22" s="4">
        <f>H20+H21</f>
        <v/>
      </c>
      <c r="I22" s="4">
        <f>I20+I21</f>
        <v/>
      </c>
      <c r="J22" s="4">
        <f>J20+J21</f>
        <v/>
      </c>
      <c r="K22" s="4">
        <f>K20+K21</f>
        <v/>
      </c>
      <c r="L22" s="4">
        <f>L20+L21</f>
        <v/>
      </c>
      <c r="M22" s="4">
        <f>M20+M21</f>
        <v/>
      </c>
      <c r="N22" s="4">
        <f>N20+N21</f>
        <v/>
      </c>
      <c r="O22" s="4">
        <f>O20+O21</f>
        <v/>
      </c>
      <c r="P22" s="4">
        <f>P20+P21</f>
        <v/>
      </c>
      <c r="Q22" s="4">
        <f>Q20+Q21</f>
        <v/>
      </c>
      <c r="R22" s="4">
        <f>R20+R21</f>
        <v/>
      </c>
      <c r="S22" s="4">
        <f>S20+S21</f>
        <v/>
      </c>
      <c r="T22" s="4">
        <f>T20+T21</f>
        <v/>
      </c>
      <c r="U22" s="4">
        <f>U20+U21</f>
        <v/>
      </c>
      <c r="V22" s="4">
        <f>V20+V21</f>
        <v/>
      </c>
      <c r="W22" s="4">
        <f>W20+W21</f>
        <v/>
      </c>
      <c r="X22" s="4">
        <f>X20+X21</f>
        <v/>
      </c>
      <c r="Y22" s="4">
        <f>Y20+Y21</f>
        <v/>
      </c>
      <c r="Z22" s="4">
        <f>Z20+Z21</f>
        <v/>
      </c>
      <c r="AA22" s="4">
        <f>AA20+AA21</f>
        <v/>
      </c>
      <c r="AB22" s="4">
        <f>AB20+AB21</f>
        <v/>
      </c>
      <c r="AC22" s="4">
        <f>AC20+AC21</f>
        <v/>
      </c>
      <c r="AD22" s="4">
        <f>AD20+AD21</f>
        <v/>
      </c>
      <c r="AE22" s="4">
        <f>AE20+AE21</f>
        <v/>
      </c>
      <c r="AF22" s="4">
        <f>AF20+AF21</f>
        <v/>
      </c>
      <c r="AG22" s="4">
        <f>AG20+AG21</f>
        <v/>
      </c>
      <c r="AH22" s="4">
        <f>AH20+AH21</f>
        <v/>
      </c>
      <c r="AI22" s="4">
        <f>AI20+AI21</f>
        <v/>
      </c>
      <c r="AJ22" s="4">
        <f>AJ20+AJ21</f>
        <v/>
      </c>
      <c r="AK22" s="4">
        <f>AK20+AK21</f>
        <v/>
      </c>
      <c r="AL22" s="4">
        <f>AL20+AL21</f>
        <v/>
      </c>
      <c r="AM22" s="4">
        <f>AM20+AM21</f>
        <v/>
      </c>
      <c r="AN22" s="4">
        <f>AN20+AN21</f>
        <v/>
      </c>
      <c r="AO22" s="4">
        <f>AO20+AO21</f>
        <v/>
      </c>
      <c r="AP22" s="4">
        <f>AP20+AP21</f>
        <v/>
      </c>
      <c r="AQ22" s="4">
        <f>AQ20+AQ21</f>
        <v/>
      </c>
      <c r="AR22" s="4">
        <f>AR20+AR21</f>
        <v/>
      </c>
      <c r="AS22" s="4">
        <f>AS20+AS21</f>
        <v/>
      </c>
      <c r="AT22" s="4">
        <f>AT20+AT21</f>
        <v/>
      </c>
      <c r="AU22" s="4">
        <f>AU20+AU21</f>
        <v/>
      </c>
    </row>
    <row r="23">
      <c r="A23" s="8" t="inlineStr">
        <is>
          <t>Ratio tariff impact (normalised to 2020)</t>
        </is>
      </c>
      <c r="B23" s="9">
        <f>B22/$B22</f>
        <v/>
      </c>
      <c r="C23" s="9">
        <f>C22/$B22</f>
        <v/>
      </c>
      <c r="D23" s="9">
        <f>D22/$B22</f>
        <v/>
      </c>
      <c r="E23" s="9">
        <f>E22/$B22</f>
        <v/>
      </c>
      <c r="F23" s="9">
        <f>F22/$B22</f>
        <v/>
      </c>
      <c r="G23" s="9">
        <f>G22/$B22</f>
        <v/>
      </c>
      <c r="H23" s="9">
        <f>H22/$B22</f>
        <v/>
      </c>
      <c r="I23" s="9">
        <f>I22/$B22</f>
        <v/>
      </c>
      <c r="J23" s="9">
        <f>J22/$B22</f>
        <v/>
      </c>
      <c r="K23" s="9">
        <f>K22/$B22</f>
        <v/>
      </c>
      <c r="L23" s="9">
        <f>L22/$B22</f>
        <v/>
      </c>
      <c r="M23" s="9">
        <f>M22/$B22</f>
        <v/>
      </c>
      <c r="N23" s="9">
        <f>N22/$B22</f>
        <v/>
      </c>
      <c r="O23" s="9">
        <f>O22/$B22</f>
        <v/>
      </c>
      <c r="P23" s="9">
        <f>P22/$B22</f>
        <v/>
      </c>
      <c r="Q23" s="9">
        <f>Q22/$B22</f>
        <v/>
      </c>
      <c r="R23" s="9">
        <f>R22/$B22</f>
        <v/>
      </c>
      <c r="S23" s="9">
        <f>S22/$B22</f>
        <v/>
      </c>
      <c r="T23" s="9">
        <f>T22/$B22</f>
        <v/>
      </c>
      <c r="U23" s="9">
        <f>U22/$B22</f>
        <v/>
      </c>
      <c r="V23" s="9">
        <f>V22/$B22</f>
        <v/>
      </c>
      <c r="W23" s="9">
        <f>W22/$B22</f>
        <v/>
      </c>
      <c r="X23" s="9">
        <f>X22/$B22</f>
        <v/>
      </c>
      <c r="Y23" s="9">
        <f>Y22/$B22</f>
        <v/>
      </c>
      <c r="Z23" s="9">
        <f>Z22/$B22</f>
        <v/>
      </c>
      <c r="AA23" s="9">
        <f>AA22/$B22</f>
        <v/>
      </c>
      <c r="AB23" s="9">
        <f>AB22/$B22</f>
        <v/>
      </c>
      <c r="AC23" s="9">
        <f>AC22/$B22</f>
        <v/>
      </c>
      <c r="AD23" s="9">
        <f>AD22/$B22</f>
        <v/>
      </c>
      <c r="AE23" s="9">
        <f>AE22/$B22</f>
        <v/>
      </c>
      <c r="AF23" s="9">
        <f>AF22/$B22</f>
        <v/>
      </c>
      <c r="AG23" s="9">
        <f>AG22/$B22</f>
        <v/>
      </c>
      <c r="AH23" s="9">
        <f>AH22/$B22</f>
        <v/>
      </c>
      <c r="AI23" s="9">
        <f>AI22/$B22</f>
        <v/>
      </c>
      <c r="AJ23" s="9">
        <f>AJ22/$B22</f>
        <v/>
      </c>
      <c r="AK23" s="9">
        <f>AK22/$B22</f>
        <v/>
      </c>
      <c r="AL23" s="9">
        <f>AL22/$B22</f>
        <v/>
      </c>
      <c r="AM23" s="9">
        <f>AM22/$B22</f>
        <v/>
      </c>
      <c r="AN23" s="9">
        <f>AN22/$B22</f>
        <v/>
      </c>
      <c r="AO23" s="9">
        <f>AO22/$B22</f>
        <v/>
      </c>
      <c r="AP23" s="9">
        <f>AP22/$B22</f>
        <v/>
      </c>
      <c r="AQ23" s="9">
        <f>AQ22/$B22</f>
        <v/>
      </c>
      <c r="AR23" s="9">
        <f>AR22/$B22</f>
        <v/>
      </c>
      <c r="AS23" s="9">
        <f>AS22/$B22</f>
        <v/>
      </c>
      <c r="AT23" s="9">
        <f>AT22/$B22</f>
        <v/>
      </c>
      <c r="AU23" s="9">
        <f>AU22/$B22</f>
        <v/>
      </c>
    </row>
    <row r="24">
      <c r="B24" s="12">
        <f>B20/B22</f>
        <v/>
      </c>
      <c r="C24" s="12">
        <f>C20/C22</f>
        <v/>
      </c>
      <c r="D24" s="12">
        <f>D20/D22</f>
        <v/>
      </c>
      <c r="E24" s="12">
        <f>E20/E22</f>
        <v/>
      </c>
      <c r="F24" s="12">
        <f>F20/F22</f>
        <v/>
      </c>
      <c r="G24" s="12">
        <f>G20/G22</f>
        <v/>
      </c>
      <c r="H24" s="12">
        <f>H20/H22</f>
        <v/>
      </c>
      <c r="I24" s="12">
        <f>I20/I22</f>
        <v/>
      </c>
      <c r="J24" s="12">
        <f>J20/J22</f>
        <v/>
      </c>
      <c r="K24" s="12">
        <f>K20/K22</f>
        <v/>
      </c>
      <c r="L24" s="12">
        <f>L20/L22</f>
        <v/>
      </c>
      <c r="M24" s="12">
        <f>M20/M22</f>
        <v/>
      </c>
      <c r="N24" s="12">
        <f>N20/N22</f>
        <v/>
      </c>
      <c r="O24" s="12">
        <f>O20/O22</f>
        <v/>
      </c>
      <c r="P24" s="12">
        <f>P20/P22</f>
        <v/>
      </c>
      <c r="Q24" s="12">
        <f>Q20/Q22</f>
        <v/>
      </c>
      <c r="R24" s="12">
        <f>R20/R22</f>
        <v/>
      </c>
      <c r="S24" s="12">
        <f>S20/S22</f>
        <v/>
      </c>
      <c r="T24" s="12">
        <f>T20/T22</f>
        <v/>
      </c>
      <c r="U24" s="12">
        <f>U20/U22</f>
        <v/>
      </c>
      <c r="V24" s="12">
        <f>V20/V22</f>
        <v/>
      </c>
      <c r="W24" s="12">
        <f>W20/W22</f>
        <v/>
      </c>
      <c r="X24" s="12">
        <f>X20/X22</f>
        <v/>
      </c>
      <c r="Y24" s="12">
        <f>Y20/Y22</f>
        <v/>
      </c>
      <c r="Z24" s="12">
        <f>Z20/Z22</f>
        <v/>
      </c>
      <c r="AA24" s="12">
        <f>AA20/AA22</f>
        <v/>
      </c>
      <c r="AB24" s="12">
        <f>AB20/AB22</f>
        <v/>
      </c>
      <c r="AC24" s="12">
        <f>AC20/AC22</f>
        <v/>
      </c>
      <c r="AD24" s="12">
        <f>AD20/AD22</f>
        <v/>
      </c>
      <c r="AE24" s="12">
        <f>AE20/AE22</f>
        <v/>
      </c>
      <c r="AF24" s="12">
        <f>AF20/AF22</f>
        <v/>
      </c>
      <c r="AG24" s="12">
        <f>AG20/AG22</f>
        <v/>
      </c>
      <c r="AH24" s="12">
        <f>AH20/AH22</f>
        <v/>
      </c>
      <c r="AI24" s="12">
        <f>AI20/AI22</f>
        <v/>
      </c>
      <c r="AJ24" s="12">
        <f>AJ20/AJ22</f>
        <v/>
      </c>
      <c r="AK24" s="12">
        <f>AK20/AK22</f>
        <v/>
      </c>
      <c r="AL24" s="12">
        <f>AL20/AL22</f>
        <v/>
      </c>
      <c r="AM24" s="12">
        <f>AM20/AM22</f>
        <v/>
      </c>
      <c r="AN24" s="12">
        <f>AN20/AN22</f>
        <v/>
      </c>
      <c r="AO24" s="12">
        <f>AO20/AO22</f>
        <v/>
      </c>
      <c r="AP24" s="12">
        <f>AP20/AP22</f>
        <v/>
      </c>
      <c r="AQ24" s="12">
        <f>AQ20/AQ22</f>
        <v/>
      </c>
      <c r="AR24" s="12">
        <f>AR20/AR22</f>
        <v/>
      </c>
      <c r="AS24" s="12">
        <f>AS20/AS22</f>
        <v/>
      </c>
      <c r="AT24" s="12">
        <f>AT20/AT22</f>
        <v/>
      </c>
      <c r="AU24" s="12">
        <f>AU20/AU22</f>
        <v/>
      </c>
    </row>
    <row r="27">
      <c r="A27" s="16" t="inlineStr">
        <is>
          <t>Price impact calculation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B28" s="12" t="n"/>
      <c r="C28" s="12" t="n"/>
      <c r="D28" s="12" t="n"/>
      <c r="E28" s="1" t="n"/>
      <c r="F28" s="1" t="n">
        <v>2020</v>
      </c>
      <c r="G28" s="1" t="n">
        <v>2030</v>
      </c>
      <c r="H28" s="1" t="n">
        <v>2040</v>
      </c>
      <c r="I28" s="1" t="n">
        <v>2050</v>
      </c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</row>
    <row r="29">
      <c r="A29" s="1" t="inlineStr">
        <is>
          <t>today's distribution tariff</t>
        </is>
      </c>
      <c r="B29" s="11" t="n">
        <v>53</v>
      </c>
      <c r="C29" s="12" t="inlineStr">
        <is>
          <t>EUR/MWh</t>
        </is>
      </c>
      <c r="D29" s="12" t="n"/>
      <c r="E29" s="12" t="inlineStr">
        <is>
          <t>TWh</t>
        </is>
      </c>
      <c r="F29" s="11" t="n">
        <v>2589.565211</v>
      </c>
      <c r="G29" s="11" t="n">
        <v>3082.40347619039</v>
      </c>
      <c r="H29" s="11" t="n">
        <v>3927.203709779767</v>
      </c>
      <c r="I29" s="11" t="n">
        <v>4629.943959174688</v>
      </c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</row>
    <row r="30">
      <c r="A30" s="1" t="inlineStr">
        <is>
          <t>2020 elec consumption</t>
        </is>
      </c>
      <c r="B30" s="2" t="n">
        <v>2590</v>
      </c>
      <c r="C30" t="inlineStr">
        <is>
          <t>TWh</t>
        </is>
      </c>
      <c r="E30" t="inlineStr">
        <is>
          <t>TWh DSO</t>
        </is>
      </c>
      <c r="F30" s="11">
        <f>F29*$B$31</f>
        <v/>
      </c>
      <c r="G30" s="11" t="n">
        <v>3082.40347619039</v>
      </c>
      <c r="H30" s="11" t="n">
        <v>3927.203709779767</v>
      </c>
      <c r="I30" s="11">
        <f>I29*$B$31</f>
        <v/>
      </c>
    </row>
    <row r="31">
      <c r="A31" s="1" t="inlineStr">
        <is>
          <t>Assumption DSO share consumption</t>
        </is>
      </c>
      <c r="B31" s="2" t="n">
        <v>0.8</v>
      </c>
      <c r="E31" t="inlineStr">
        <is>
          <t>Ratio Consumption</t>
        </is>
      </c>
      <c r="F31" s="21">
        <f>F30/$F30</f>
        <v/>
      </c>
      <c r="G31" s="21">
        <f>G30/$F30</f>
        <v/>
      </c>
      <c r="H31" s="21">
        <f>H30/$F30</f>
        <v/>
      </c>
      <c r="I31" s="21">
        <f>I30/$F30</f>
        <v/>
      </c>
    </row>
    <row r="32">
      <c r="A32" s="1" t="inlineStr">
        <is>
          <t>Estimated DSO revenue</t>
        </is>
      </c>
      <c r="B32" s="14">
        <f>B30*B31*10^6*B29*10^-9</f>
        <v/>
      </c>
      <c r="C32" t="inlineStr">
        <is>
          <t>billion EUR</t>
        </is>
      </c>
      <c r="E32" s="12" t="inlineStr">
        <is>
          <t>Ratio revenue</t>
        </is>
      </c>
      <c r="F32" s="13">
        <f>B23</f>
        <v/>
      </c>
      <c r="G32" s="13">
        <f>L23</f>
        <v/>
      </c>
      <c r="H32" s="13">
        <f>V23</f>
        <v/>
      </c>
      <c r="I32" s="13">
        <f>AF23</f>
        <v/>
      </c>
    </row>
    <row r="33">
      <c r="A33" s="19" t="inlineStr">
        <is>
          <t>Check error against Max Allowable Revenue from revenue model</t>
        </is>
      </c>
      <c r="B33" s="20">
        <f>(B32-B22)/B32</f>
        <v/>
      </c>
      <c r="E33" t="inlineStr">
        <is>
          <t>revenue</t>
        </is>
      </c>
      <c r="F33" s="14">
        <f>B32</f>
        <v/>
      </c>
      <c r="G33" s="14">
        <f>$F33*G32</f>
        <v/>
      </c>
      <c r="H33" s="14">
        <f>$F33*H32</f>
        <v/>
      </c>
      <c r="I33" s="14">
        <f>$F33*I32</f>
        <v/>
      </c>
    </row>
    <row r="34">
      <c r="E34" t="inlineStr">
        <is>
          <t>distribution charges (EUR/MWh)</t>
        </is>
      </c>
      <c r="F34" s="14">
        <f>F33*1000/F30</f>
        <v/>
      </c>
      <c r="G34" s="14">
        <f>G33*1000/G30</f>
        <v/>
      </c>
      <c r="H34" s="14">
        <f>H33*1000/H30</f>
        <v/>
      </c>
      <c r="I34" s="14">
        <f>I33*1000/I30</f>
        <v/>
      </c>
    </row>
    <row r="35">
      <c r="E35" t="inlineStr">
        <is>
          <t>Direct DSO tariff MAR/TWh (EUR/MWh)</t>
        </is>
      </c>
      <c r="F35">
        <f>B22*1000/F30</f>
        <v/>
      </c>
      <c r="G35">
        <f>L22*1000/G30</f>
        <v/>
      </c>
      <c r="H35">
        <f>V22*1000/H30</f>
        <v/>
      </c>
    </row>
    <row r="36">
      <c r="A36" t="inlineStr">
        <is>
          <t>Verbal Input on share of distribution consumption in national total</t>
        </is>
      </c>
      <c r="B36" t="inlineStr">
        <is>
          <t>France</t>
        </is>
      </c>
      <c r="C36" t="inlineStr">
        <is>
          <t>Italy</t>
        </is>
      </c>
      <c r="F36" s="1" t="n">
        <v>2018</v>
      </c>
      <c r="G36" s="1" t="n">
        <v>2030</v>
      </c>
      <c r="H36" s="1" t="n">
        <v>2040</v>
      </c>
      <c r="I36" s="1" t="n">
        <v>2050</v>
      </c>
    </row>
    <row r="37">
      <c r="A37" t="inlineStr">
        <is>
          <t xml:space="preserve">Share of electricity </t>
        </is>
      </c>
      <c r="B37" t="n">
        <v>80</v>
      </c>
      <c r="C37" t="n">
        <v>80</v>
      </c>
    </row>
    <row r="39">
      <c r="A39" t="inlineStr">
        <is>
          <t>Eurostat - T&amp;D tariff</t>
        </is>
      </c>
      <c r="B39" t="n">
        <v>66</v>
      </c>
      <c r="C39" t="n">
        <v>2022</v>
      </c>
      <c r="I39">
        <f>32*3.3</f>
        <v/>
      </c>
    </row>
    <row r="40">
      <c r="I40">
        <f>129+105</f>
        <v/>
      </c>
    </row>
    <row r="41">
      <c r="B41" s="18" t="n"/>
      <c r="I41">
        <f>I40/3.7</f>
        <v/>
      </c>
    </row>
    <row r="45">
      <c r="F45" t="n">
        <v>1.82</v>
      </c>
    </row>
    <row r="46">
      <c r="F46">
        <f>4630/2590</f>
        <v/>
      </c>
    </row>
    <row r="47">
      <c r="F47">
        <f>1.82/1.7876</f>
        <v/>
      </c>
    </row>
    <row r="48">
      <c r="F48">
        <f>54/53</f>
        <v/>
      </c>
    </row>
    <row r="50">
      <c r="A50" t="inlineStr">
        <is>
          <t>PyPSA scenario Build: 2026-2030 CAPEX = 2030 overnight/5; 2031-2040 CAPEX = 2040 incremental overnight/10 (EUR2015). G30/H30 are DSO HV→LV TWh (no 80% factor). 2020-2025 and 2041+ CAPEX unchanged.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4.5"/>
  <cols>
    <col width="39.1796875" customWidth="1" min="1" max="1"/>
    <col width="11.81640625" bestFit="1" customWidth="1" min="2" max="2"/>
  </cols>
  <sheetData>
    <row r="1">
      <c r="B1" s="2" t="inlineStr">
        <is>
          <t>INPUT</t>
        </is>
      </c>
    </row>
    <row r="2">
      <c r="B2" s="3" t="inlineStr">
        <is>
          <t>CALC</t>
        </is>
      </c>
    </row>
    <row r="4">
      <c r="A4" s="16" t="inlineStr">
        <is>
          <t>Simplified model of DSO allowable revenue for Europe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6">
      <c r="A6" t="inlineStr">
        <is>
          <t>Max allowable revenue</t>
        </is>
      </c>
      <c r="B6" t="inlineStr">
        <is>
          <t>(RAB*WACC)+Depreciation+ OPEX</t>
        </is>
      </c>
    </row>
    <row r="8">
      <c r="A8" s="1" t="inlineStr">
        <is>
          <t>WACC</t>
        </is>
      </c>
      <c r="B8" s="6" t="n">
        <v>0.054</v>
      </c>
    </row>
    <row r="9">
      <c r="A9" s="1" t="inlineStr">
        <is>
          <t>Average Asset Lifetime</t>
        </is>
      </c>
      <c r="B9" s="2" t="n">
        <v>42</v>
      </c>
      <c r="E9" t="inlineStr">
        <is>
          <t>Verbal Input on Share of CAPEX in allowance revenue</t>
        </is>
      </c>
    </row>
    <row r="10">
      <c r="A10" s="1" t="inlineStr">
        <is>
          <t>Depreciation rate</t>
        </is>
      </c>
      <c r="B10" s="7">
        <f>1/B9</f>
        <v/>
      </c>
      <c r="E10" t="inlineStr">
        <is>
          <t>Germany</t>
        </is>
      </c>
      <c r="F10" t="inlineStr">
        <is>
          <t>Italy</t>
        </is>
      </c>
      <c r="G10" t="inlineStr">
        <is>
          <t>Ireland</t>
        </is>
      </c>
      <c r="H10" t="inlineStr">
        <is>
          <t>Portugal</t>
        </is>
      </c>
    </row>
    <row r="11">
      <c r="A11" s="1" t="inlineStr">
        <is>
          <t>Share of CAPEX in allowable revenue</t>
        </is>
      </c>
      <c r="B11" s="10" t="n">
        <v>0.5</v>
      </c>
      <c r="E11" t="n">
        <v>40</v>
      </c>
      <c r="F11" t="n">
        <v>66</v>
      </c>
      <c r="G11" t="n">
        <v>80</v>
      </c>
      <c r="H11" t="n">
        <v>40</v>
      </c>
    </row>
    <row r="12">
      <c r="A12" s="1" t="inlineStr">
        <is>
          <t>OPEX Growth</t>
        </is>
      </c>
      <c r="B12" s="10" t="n">
        <v>0.01</v>
      </c>
    </row>
    <row r="13">
      <c r="A13" s="1" t="inlineStr">
        <is>
          <t>Starting RAB Europe</t>
        </is>
      </c>
      <c r="B13" s="2" t="n">
        <v>700</v>
      </c>
      <c r="C13" t="inlineStr">
        <is>
          <t>B EUR</t>
        </is>
      </c>
    </row>
    <row r="15">
      <c r="A15" s="5" t="inlineStr">
        <is>
          <t>B EUR</t>
        </is>
      </c>
      <c r="B15" s="5" t="n">
        <v>2020</v>
      </c>
      <c r="C15" s="5" t="n">
        <v>2021</v>
      </c>
      <c r="D15" s="5" t="n">
        <v>2022</v>
      </c>
      <c r="E15" s="5" t="n">
        <v>2023</v>
      </c>
      <c r="F15" s="5" t="n">
        <v>2024</v>
      </c>
      <c r="G15" s="5" t="n">
        <v>2025</v>
      </c>
      <c r="H15" s="5" t="n">
        <v>2026</v>
      </c>
      <c r="I15" s="5" t="n">
        <v>2027</v>
      </c>
      <c r="J15" s="5" t="n">
        <v>2028</v>
      </c>
      <c r="K15" s="5" t="n">
        <v>2029</v>
      </c>
      <c r="L15" s="5" t="n">
        <v>2030</v>
      </c>
      <c r="M15" s="5" t="n">
        <v>2031</v>
      </c>
      <c r="N15" s="5" t="n">
        <v>2032</v>
      </c>
      <c r="O15" s="5" t="n">
        <v>2033</v>
      </c>
      <c r="P15" s="5" t="n">
        <v>2034</v>
      </c>
      <c r="Q15" s="5" t="n">
        <v>2035</v>
      </c>
      <c r="R15" s="5" t="n">
        <v>2036</v>
      </c>
      <c r="S15" s="5" t="n">
        <v>2037</v>
      </c>
      <c r="T15" s="5" t="n">
        <v>2038</v>
      </c>
      <c r="U15" s="5" t="n">
        <v>2039</v>
      </c>
      <c r="V15" s="5" t="n">
        <v>2040</v>
      </c>
      <c r="W15" s="5" t="n">
        <v>2041</v>
      </c>
      <c r="X15" s="5" t="n">
        <v>2042</v>
      </c>
      <c r="Y15" s="5" t="n">
        <v>2043</v>
      </c>
      <c r="Z15" s="5" t="n">
        <v>2044</v>
      </c>
      <c r="AA15" s="5" t="n">
        <v>2045</v>
      </c>
      <c r="AB15" s="5" t="n">
        <v>2046</v>
      </c>
      <c r="AC15" s="5" t="n">
        <v>2047</v>
      </c>
      <c r="AD15" s="5" t="n">
        <v>2048</v>
      </c>
      <c r="AE15" s="5" t="n">
        <v>2049</v>
      </c>
      <c r="AF15" s="5" t="n">
        <v>2050</v>
      </c>
      <c r="AG15" s="5" t="n">
        <v>2051</v>
      </c>
      <c r="AH15" s="5" t="n">
        <v>2052</v>
      </c>
      <c r="AI15" s="5" t="n">
        <v>2053</v>
      </c>
      <c r="AJ15" s="5" t="n">
        <v>2054</v>
      </c>
      <c r="AK15" s="5" t="n">
        <v>2055</v>
      </c>
      <c r="AL15" s="5" t="n">
        <v>2056</v>
      </c>
      <c r="AM15" s="5" t="n">
        <v>2057</v>
      </c>
      <c r="AN15" s="5" t="n">
        <v>2058</v>
      </c>
      <c r="AO15" s="5" t="n">
        <v>2059</v>
      </c>
      <c r="AP15" s="5" t="n">
        <v>2060</v>
      </c>
      <c r="AQ15" s="5" t="n">
        <v>2061</v>
      </c>
      <c r="AR15" s="5" t="n">
        <v>2062</v>
      </c>
      <c r="AS15" s="5" t="n">
        <v>2063</v>
      </c>
      <c r="AT15" s="5" t="n">
        <v>2064</v>
      </c>
      <c r="AU15" s="5" t="n">
        <v>2065</v>
      </c>
    </row>
    <row r="16">
      <c r="A16" s="5" t="inlineStr">
        <is>
          <t>Opening RAB</t>
        </is>
      </c>
      <c r="B16" s="3">
        <f>B13</f>
        <v/>
      </c>
      <c r="C16" s="4">
        <f>B19</f>
        <v/>
      </c>
      <c r="D16" s="4">
        <f>C19</f>
        <v/>
      </c>
      <c r="E16" s="4">
        <f>D19</f>
        <v/>
      </c>
      <c r="F16" s="4">
        <f>E19</f>
        <v/>
      </c>
      <c r="G16" s="4">
        <f>F19</f>
        <v/>
      </c>
      <c r="H16" s="4">
        <f>G19</f>
        <v/>
      </c>
      <c r="I16" s="4">
        <f>H19</f>
        <v/>
      </c>
      <c r="J16" s="4">
        <f>I19</f>
        <v/>
      </c>
      <c r="K16" s="4">
        <f>J19</f>
        <v/>
      </c>
      <c r="L16" s="4">
        <f>K19</f>
        <v/>
      </c>
      <c r="M16" s="4">
        <f>L19</f>
        <v/>
      </c>
      <c r="N16" s="4">
        <f>M19</f>
        <v/>
      </c>
      <c r="O16" s="4">
        <f>N19</f>
        <v/>
      </c>
      <c r="P16" s="4">
        <f>O19</f>
        <v/>
      </c>
      <c r="Q16" s="4">
        <f>P19</f>
        <v/>
      </c>
      <c r="R16" s="4">
        <f>Q19</f>
        <v/>
      </c>
      <c r="S16" s="4">
        <f>R19</f>
        <v/>
      </c>
      <c r="T16" s="4">
        <f>S19</f>
        <v/>
      </c>
      <c r="U16" s="4">
        <f>T19</f>
        <v/>
      </c>
      <c r="V16" s="4">
        <f>U19</f>
        <v/>
      </c>
      <c r="W16" s="4">
        <f>V19</f>
        <v/>
      </c>
      <c r="X16" s="4">
        <f>W19</f>
        <v/>
      </c>
      <c r="Y16" s="4">
        <f>X19</f>
        <v/>
      </c>
      <c r="Z16" s="4">
        <f>Y19</f>
        <v/>
      </c>
      <c r="AA16" s="4">
        <f>Z19</f>
        <v/>
      </c>
      <c r="AB16" s="4">
        <f>AA19</f>
        <v/>
      </c>
      <c r="AC16" s="4">
        <f>AB19</f>
        <v/>
      </c>
      <c r="AD16" s="4">
        <f>AC19</f>
        <v/>
      </c>
      <c r="AE16" s="4">
        <f>AD19</f>
        <v/>
      </c>
      <c r="AF16" s="4">
        <f>AE19</f>
        <v/>
      </c>
      <c r="AG16" s="4">
        <f>AF19</f>
        <v/>
      </c>
      <c r="AH16" s="4">
        <f>AG19</f>
        <v/>
      </c>
      <c r="AI16" s="4">
        <f>AH19</f>
        <v/>
      </c>
      <c r="AJ16" s="4">
        <f>AI19</f>
        <v/>
      </c>
      <c r="AK16" s="4">
        <f>AJ19</f>
        <v/>
      </c>
      <c r="AL16" s="4">
        <f>AK19</f>
        <v/>
      </c>
      <c r="AM16" s="4">
        <f>AL19</f>
        <v/>
      </c>
      <c r="AN16" s="4">
        <f>AM19</f>
        <v/>
      </c>
      <c r="AO16" s="4">
        <f>AN19</f>
        <v/>
      </c>
      <c r="AP16" s="4">
        <f>AO19</f>
        <v/>
      </c>
      <c r="AQ16" s="4">
        <f>AP19</f>
        <v/>
      </c>
      <c r="AR16" s="4">
        <f>AQ19</f>
        <v/>
      </c>
      <c r="AS16" s="4">
        <f>AR19</f>
        <v/>
      </c>
      <c r="AT16" s="4">
        <f>AS19</f>
        <v/>
      </c>
      <c r="AU16" s="4">
        <f>AT19</f>
        <v/>
      </c>
    </row>
    <row r="17">
      <c r="A17" s="5" t="inlineStr">
        <is>
          <t>CAPEX addition</t>
        </is>
      </c>
      <c r="B17" s="2" t="n">
        <v>29</v>
      </c>
      <c r="C17" s="2" t="n">
        <v>32</v>
      </c>
      <c r="D17" s="2" t="n">
        <v>35</v>
      </c>
      <c r="E17" s="2" t="n">
        <v>36</v>
      </c>
      <c r="F17" s="2" t="n">
        <v>40</v>
      </c>
      <c r="G17" s="2" t="n">
        <v>60</v>
      </c>
      <c r="H17" s="2" t="n">
        <v>54.87046327538114</v>
      </c>
      <c r="I17" s="2" t="n">
        <v>54.87046327538114</v>
      </c>
      <c r="J17" s="2" t="n">
        <v>54.87046327538114</v>
      </c>
      <c r="K17" s="2" t="n">
        <v>54.87046327538114</v>
      </c>
      <c r="L17" s="2" t="n">
        <v>54.87046327538114</v>
      </c>
      <c r="M17" s="2" t="n">
        <v>12.68930390348177</v>
      </c>
      <c r="N17" s="2" t="n">
        <v>12.68930390348177</v>
      </c>
      <c r="O17" s="2" t="n">
        <v>12.68930390348177</v>
      </c>
      <c r="P17" s="2" t="n">
        <v>12.68930390348177</v>
      </c>
      <c r="Q17" s="2" t="n">
        <v>12.68930390348177</v>
      </c>
      <c r="R17" s="2" t="n">
        <v>12.68930390348177</v>
      </c>
      <c r="S17" s="2" t="n">
        <v>12.68930390348177</v>
      </c>
      <c r="T17" s="2" t="n">
        <v>12.68930390348177</v>
      </c>
      <c r="U17" s="2" t="n">
        <v>12.68930390348177</v>
      </c>
      <c r="V17" s="2" t="n">
        <v>12.68930390348177</v>
      </c>
      <c r="W17" s="2" t="n">
        <v>60</v>
      </c>
      <c r="X17" s="2" t="n">
        <v>60</v>
      </c>
      <c r="Y17" s="2" t="n">
        <v>60</v>
      </c>
      <c r="Z17" s="2" t="n">
        <v>60</v>
      </c>
      <c r="AA17" s="2" t="n">
        <v>60</v>
      </c>
      <c r="AB17" s="2" t="n">
        <v>60</v>
      </c>
      <c r="AC17" s="2" t="n">
        <v>60</v>
      </c>
      <c r="AD17" s="2" t="n">
        <v>60</v>
      </c>
      <c r="AE17" s="2" t="n">
        <v>60</v>
      </c>
      <c r="AF17" s="2" t="n">
        <v>60</v>
      </c>
      <c r="AG17" s="2" t="n">
        <v>60</v>
      </c>
      <c r="AH17" s="2" t="n">
        <v>60</v>
      </c>
      <c r="AI17" s="2" t="n">
        <v>60</v>
      </c>
      <c r="AJ17" s="2" t="n">
        <v>60</v>
      </c>
      <c r="AK17" s="2" t="n">
        <v>60</v>
      </c>
      <c r="AL17" s="2" t="n">
        <v>60</v>
      </c>
      <c r="AM17" s="2" t="n">
        <v>60</v>
      </c>
      <c r="AN17" s="2" t="n">
        <v>60</v>
      </c>
      <c r="AO17" s="2" t="n">
        <v>60</v>
      </c>
      <c r="AP17" s="2" t="n">
        <v>60</v>
      </c>
      <c r="AQ17" s="2" t="n">
        <v>60</v>
      </c>
      <c r="AR17" s="2" t="n">
        <v>60</v>
      </c>
      <c r="AS17" s="2" t="n">
        <v>60</v>
      </c>
      <c r="AT17" s="2" t="n">
        <v>60</v>
      </c>
      <c r="AU17" s="2" t="n">
        <v>60</v>
      </c>
    </row>
    <row r="18">
      <c r="A18" s="5" t="inlineStr">
        <is>
          <t>Depreciation</t>
        </is>
      </c>
      <c r="B18" s="4">
        <f>(B16*$B10)</f>
        <v/>
      </c>
      <c r="C18" s="4">
        <f>(C16*$B10)</f>
        <v/>
      </c>
      <c r="D18" s="4">
        <f>(D16*$B10)</f>
        <v/>
      </c>
      <c r="E18" s="4">
        <f>(E16*$B10)</f>
        <v/>
      </c>
      <c r="F18" s="4">
        <f>(F16*$B10)</f>
        <v/>
      </c>
      <c r="G18" s="4">
        <f>(G16*$B10)</f>
        <v/>
      </c>
      <c r="H18" s="4">
        <f>(H16*$B10)</f>
        <v/>
      </c>
      <c r="I18" s="4">
        <f>(I16*$B10)</f>
        <v/>
      </c>
      <c r="J18" s="4">
        <f>(J16*$B10)</f>
        <v/>
      </c>
      <c r="K18" s="4">
        <f>(K16*$B10)</f>
        <v/>
      </c>
      <c r="L18" s="4">
        <f>(L16*$B10)</f>
        <v/>
      </c>
      <c r="M18" s="15">
        <f>L18</f>
        <v/>
      </c>
      <c r="N18" s="15">
        <f>M18</f>
        <v/>
      </c>
      <c r="O18" s="15">
        <f>N18</f>
        <v/>
      </c>
      <c r="P18" s="15">
        <f>O18</f>
        <v/>
      </c>
      <c r="Q18" s="15">
        <f>P18</f>
        <v/>
      </c>
      <c r="R18" s="15">
        <f>Q18</f>
        <v/>
      </c>
      <c r="S18" s="15">
        <f>R18</f>
        <v/>
      </c>
      <c r="T18" s="15">
        <f>S18</f>
        <v/>
      </c>
      <c r="U18" s="15">
        <f>T18</f>
        <v/>
      </c>
      <c r="V18" s="15">
        <f>U18</f>
        <v/>
      </c>
      <c r="W18" s="15">
        <f>V18</f>
        <v/>
      </c>
      <c r="X18" s="15">
        <f>W18</f>
        <v/>
      </c>
      <c r="Y18" s="15">
        <f>X18</f>
        <v/>
      </c>
      <c r="Z18" s="15">
        <f>Y18</f>
        <v/>
      </c>
      <c r="AA18" s="15">
        <f>Z18</f>
        <v/>
      </c>
      <c r="AB18" s="15">
        <f>AA18</f>
        <v/>
      </c>
      <c r="AC18" s="15">
        <f>AB18</f>
        <v/>
      </c>
      <c r="AD18" s="15">
        <f>AC18</f>
        <v/>
      </c>
      <c r="AE18" s="15">
        <f>AD18</f>
        <v/>
      </c>
      <c r="AF18" s="15">
        <f>AE18</f>
        <v/>
      </c>
      <c r="AG18" s="15">
        <f>AF18</f>
        <v/>
      </c>
      <c r="AH18" s="15">
        <f>AG18</f>
        <v/>
      </c>
      <c r="AI18" s="15">
        <f>AH18</f>
        <v/>
      </c>
      <c r="AJ18" s="15">
        <f>AI18</f>
        <v/>
      </c>
      <c r="AK18" s="15">
        <f>AJ18</f>
        <v/>
      </c>
      <c r="AL18" s="15">
        <f>AK18</f>
        <v/>
      </c>
      <c r="AM18" s="15">
        <f>AL18</f>
        <v/>
      </c>
      <c r="AN18" s="15">
        <f>AM18</f>
        <v/>
      </c>
      <c r="AO18" s="15">
        <f>AN18</f>
        <v/>
      </c>
      <c r="AP18" s="15">
        <f>AO18</f>
        <v/>
      </c>
      <c r="AQ18" s="15">
        <f>AP18</f>
        <v/>
      </c>
      <c r="AR18" s="15">
        <f>AQ18</f>
        <v/>
      </c>
      <c r="AS18" s="15">
        <f>AR18</f>
        <v/>
      </c>
      <c r="AT18" s="15">
        <f>AS18</f>
        <v/>
      </c>
      <c r="AU18" s="15">
        <f>AT18</f>
        <v/>
      </c>
    </row>
    <row r="19">
      <c r="A19" s="5" t="inlineStr">
        <is>
          <t>New RAB</t>
        </is>
      </c>
      <c r="B19" s="4">
        <f>B16+B17-B18</f>
        <v/>
      </c>
      <c r="C19" s="4">
        <f>C16+C17-C18</f>
        <v/>
      </c>
      <c r="D19" s="4">
        <f>D16+D17-D18</f>
        <v/>
      </c>
      <c r="E19" s="4">
        <f>E16+E17-E18</f>
        <v/>
      </c>
      <c r="F19" s="4">
        <f>F16+F17-F18</f>
        <v/>
      </c>
      <c r="G19" s="4">
        <f>G16+G17-G18</f>
        <v/>
      </c>
      <c r="H19" s="4">
        <f>H16+H17-H18</f>
        <v/>
      </c>
      <c r="I19" s="4">
        <f>I16+I17-I18</f>
        <v/>
      </c>
      <c r="J19" s="4">
        <f>J16+J17-J18</f>
        <v/>
      </c>
      <c r="K19" s="4">
        <f>K16+K17-K18</f>
        <v/>
      </c>
      <c r="L19" s="4">
        <f>L16+L17-L18</f>
        <v/>
      </c>
      <c r="M19" s="4">
        <f>M16+M17-M18</f>
        <v/>
      </c>
      <c r="N19" s="4">
        <f>N16+N17-N18</f>
        <v/>
      </c>
      <c r="O19" s="4">
        <f>O16+O17-O18</f>
        <v/>
      </c>
      <c r="P19" s="4">
        <f>P16+P17-P18</f>
        <v/>
      </c>
      <c r="Q19" s="4">
        <f>Q16+Q17-Q18</f>
        <v/>
      </c>
      <c r="R19" s="4">
        <f>R16+R17-R18</f>
        <v/>
      </c>
      <c r="S19" s="4">
        <f>S16+S17-S18</f>
        <v/>
      </c>
      <c r="T19" s="4">
        <f>T16+T17-T18</f>
        <v/>
      </c>
      <c r="U19" s="4">
        <f>U16+U17-U18</f>
        <v/>
      </c>
      <c r="V19" s="4">
        <f>V16+V17-V18</f>
        <v/>
      </c>
      <c r="W19" s="4">
        <f>W16+W17-W18</f>
        <v/>
      </c>
      <c r="X19" s="4">
        <f>X16+X17-X18</f>
        <v/>
      </c>
      <c r="Y19" s="4">
        <f>Y16+Y17-Y18</f>
        <v/>
      </c>
      <c r="Z19" s="4">
        <f>Z16+Z17-Z18</f>
        <v/>
      </c>
      <c r="AA19" s="4">
        <f>AA16+AA17-AA18</f>
        <v/>
      </c>
      <c r="AB19" s="4">
        <f>AB16+AB17-AB18</f>
        <v/>
      </c>
      <c r="AC19" s="4">
        <f>AC16+AC17-AC18</f>
        <v/>
      </c>
      <c r="AD19" s="4">
        <f>AD16+AD17-AD18</f>
        <v/>
      </c>
      <c r="AE19" s="4">
        <f>AE16+AE17-AE18</f>
        <v/>
      </c>
      <c r="AF19" s="4">
        <f>AF16+AF17-AF18</f>
        <v/>
      </c>
      <c r="AG19" s="4">
        <f>AG16+AG17-AG18</f>
        <v/>
      </c>
      <c r="AH19" s="4">
        <f>AH16+AH17-AH18</f>
        <v/>
      </c>
      <c r="AI19" s="4">
        <f>AI16+AI17-AI18</f>
        <v/>
      </c>
      <c r="AJ19" s="4">
        <f>AJ16+AJ17-AJ18</f>
        <v/>
      </c>
      <c r="AK19" s="4">
        <f>AK16+AK17-AK18</f>
        <v/>
      </c>
      <c r="AL19" s="4">
        <f>AL16+AL17-AL18</f>
        <v/>
      </c>
      <c r="AM19" s="4">
        <f>AM16+AM17-AM18</f>
        <v/>
      </c>
      <c r="AN19" s="4">
        <f>AN16+AN17-AN18</f>
        <v/>
      </c>
      <c r="AO19" s="4">
        <f>AO16+AO17-AO18</f>
        <v/>
      </c>
      <c r="AP19" s="4">
        <f>AP16+AP17-AP18</f>
        <v/>
      </c>
      <c r="AQ19" s="4">
        <f>AQ16+AQ17-AQ18</f>
        <v/>
      </c>
      <c r="AR19" s="4">
        <f>AR16+AR17-AR18</f>
        <v/>
      </c>
      <c r="AS19" s="4">
        <f>AS16+AS17-AS18</f>
        <v/>
      </c>
      <c r="AT19" s="4">
        <f>AT16+AT17-AT18</f>
        <v/>
      </c>
      <c r="AU19" s="4">
        <f>AU16+AU17-AU18</f>
        <v/>
      </c>
    </row>
    <row r="20">
      <c r="A20" s="5" t="inlineStr">
        <is>
          <t>Max allowable Revenue CAPEX</t>
        </is>
      </c>
      <c r="B20" s="4">
        <f>(B16+B17)*$B8+B18</f>
        <v/>
      </c>
      <c r="C20" s="4">
        <f>(C16+C17)*$B8+C18</f>
        <v/>
      </c>
      <c r="D20" s="4">
        <f>(D16+D17)*$B8+D18</f>
        <v/>
      </c>
      <c r="E20" s="4">
        <f>(E16+E17)*$B8+E18</f>
        <v/>
      </c>
      <c r="F20" s="4">
        <f>(F16+F17)*$B8+F18</f>
        <v/>
      </c>
      <c r="G20" s="4">
        <f>(G16+G17)*$B8+G18</f>
        <v/>
      </c>
      <c r="H20" s="4">
        <f>(H16+H17)*$B8+H18</f>
        <v/>
      </c>
      <c r="I20" s="4">
        <f>(I16+I17)*$B8+I18</f>
        <v/>
      </c>
      <c r="J20" s="4">
        <f>(J16+J17)*$B8+J18</f>
        <v/>
      </c>
      <c r="K20" s="4">
        <f>(K16+K17)*$B8+K18</f>
        <v/>
      </c>
      <c r="L20" s="4">
        <f>(L16+L17)*$B8+L18</f>
        <v/>
      </c>
      <c r="M20" s="4">
        <f>(M16+M17)*$B8+M18</f>
        <v/>
      </c>
      <c r="N20" s="4">
        <f>(N16+N17)*$B8+N18</f>
        <v/>
      </c>
      <c r="O20" s="4">
        <f>(O16+O17)*$B8+O18</f>
        <v/>
      </c>
      <c r="P20" s="4">
        <f>(P16+P17)*$B8+P18</f>
        <v/>
      </c>
      <c r="Q20" s="4">
        <f>(Q16+Q17)*$B8+Q18</f>
        <v/>
      </c>
      <c r="R20" s="4">
        <f>(R16+R17)*$B8+R18</f>
        <v/>
      </c>
      <c r="S20" s="4">
        <f>(S16+S17)*$B8+S18</f>
        <v/>
      </c>
      <c r="T20" s="4">
        <f>(T16+T17)*$B8+T18</f>
        <v/>
      </c>
      <c r="U20" s="4">
        <f>(U16+U17)*$B8+U18</f>
        <v/>
      </c>
      <c r="V20" s="4">
        <f>(V16+V17)*$B8+V18</f>
        <v/>
      </c>
      <c r="W20" s="4">
        <f>(W16+W17)*$B8+W18</f>
        <v/>
      </c>
      <c r="X20" s="4">
        <f>(X16+X17)*$B8+X18</f>
        <v/>
      </c>
      <c r="Y20" s="4">
        <f>(Y16+Y17)*$B8+Y18</f>
        <v/>
      </c>
      <c r="Z20" s="4">
        <f>(Z16+Z17)*$B8+Z18</f>
        <v/>
      </c>
      <c r="AA20" s="4">
        <f>(AA16+AA17)*$B8+AA18</f>
        <v/>
      </c>
      <c r="AB20" s="4">
        <f>(AB16+AB17)*$B8+AB18</f>
        <v/>
      </c>
      <c r="AC20" s="4">
        <f>(AC16+AC17)*$B8+AC18</f>
        <v/>
      </c>
      <c r="AD20" s="4">
        <f>(AD16+AD17)*$B8+AD18</f>
        <v/>
      </c>
      <c r="AE20" s="4">
        <f>(AE16+AE17)*$B8+AE18</f>
        <v/>
      </c>
      <c r="AF20" s="4">
        <f>(AF16+AF17)*$B8+AF18</f>
        <v/>
      </c>
      <c r="AG20" s="4">
        <f>(AG16+AG17)*$B8+AG18</f>
        <v/>
      </c>
      <c r="AH20" s="4">
        <f>(AH16+AH17)*$B8+AH18</f>
        <v/>
      </c>
      <c r="AI20" s="4">
        <f>(AI16+AI17)*$B8+AI18</f>
        <v/>
      </c>
      <c r="AJ20" s="4">
        <f>(AJ16+AJ17)*$B8+AJ18</f>
        <v/>
      </c>
      <c r="AK20" s="4">
        <f>(AK16+AK17)*$B8+AK18</f>
        <v/>
      </c>
      <c r="AL20" s="4">
        <f>(AL16+AL17)*$B8+AL18</f>
        <v/>
      </c>
      <c r="AM20" s="4">
        <f>(AM16+AM17)*$B8+AM18</f>
        <v/>
      </c>
      <c r="AN20" s="4">
        <f>(AN16+AN17)*$B8+AN18</f>
        <v/>
      </c>
      <c r="AO20" s="4">
        <f>(AO16+AO17)*$B8+AO18</f>
        <v/>
      </c>
      <c r="AP20" s="4">
        <f>(AP16+AP17)*$B8+AP18</f>
        <v/>
      </c>
      <c r="AQ20" s="4">
        <f>(AQ16+AQ17)*$B8+AQ18</f>
        <v/>
      </c>
      <c r="AR20" s="4">
        <f>(AR16+AR17)*$B8+AR18</f>
        <v/>
      </c>
      <c r="AS20" s="4">
        <f>(AS16+AS17)*$B8+AS18</f>
        <v/>
      </c>
      <c r="AT20" s="4">
        <f>(AT16+AT17)*$B8+AT18</f>
        <v/>
      </c>
      <c r="AU20" s="4">
        <f>(AU16+AU17)*$B8+AU18</f>
        <v/>
      </c>
    </row>
    <row r="21">
      <c r="A21" s="5" t="inlineStr">
        <is>
          <t>OPEX</t>
        </is>
      </c>
      <c r="B21" s="11">
        <f>B20*(1/B11-1)</f>
        <v/>
      </c>
      <c r="C21" s="4">
        <f>$B21*(1+$B$12)^(C15-$B15)</f>
        <v/>
      </c>
      <c r="D21" s="4">
        <f>$B21*(1+$B$12)^(D15-$B15)</f>
        <v/>
      </c>
      <c r="E21" s="4">
        <f>$B21*(1+$B$12)^(E15-$B15)</f>
        <v/>
      </c>
      <c r="F21" s="4">
        <f>$B21*(1+$B$12)^(F15-$B15)</f>
        <v/>
      </c>
      <c r="G21" s="4">
        <f>$B21*(1+$B$12)^(G15-$B15)</f>
        <v/>
      </c>
      <c r="H21" s="4">
        <f>$B21*(1+$B$12)^(H15-$B15)</f>
        <v/>
      </c>
      <c r="I21" s="4">
        <f>$B21*(1+$B$12)^(I15-$B15)</f>
        <v/>
      </c>
      <c r="J21" s="4">
        <f>$B21*(1+$B$12)^(J15-$B15)</f>
        <v/>
      </c>
      <c r="K21" s="4">
        <f>$B21*(1+$B$12)^(K15-$B15)</f>
        <v/>
      </c>
      <c r="L21" s="4">
        <f>$B21*(1+$B$12)^(L15-$B15)</f>
        <v/>
      </c>
      <c r="M21" s="4">
        <f>$B21*(1+$B$12)^(M15-$B15)</f>
        <v/>
      </c>
      <c r="N21" s="4">
        <f>$B21*(1+$B$12)^(N15-$B15)</f>
        <v/>
      </c>
      <c r="O21" s="4">
        <f>$B21*(1+$B$12)^(O15-$B15)</f>
        <v/>
      </c>
      <c r="P21" s="4">
        <f>$B21*(1+$B$12)^(P15-$B15)</f>
        <v/>
      </c>
      <c r="Q21" s="4">
        <f>$B21*(1+$B$12)^(Q15-$B15)</f>
        <v/>
      </c>
      <c r="R21" s="4">
        <f>$B21*(1+$B$12)^(R15-$B15)</f>
        <v/>
      </c>
      <c r="S21" s="4">
        <f>$B21*(1+$B$12)^(S15-$B15)</f>
        <v/>
      </c>
      <c r="T21" s="4">
        <f>$B21*(1+$B$12)^(T15-$B15)</f>
        <v/>
      </c>
      <c r="U21" s="4">
        <f>$B21*(1+$B$12)^(U15-$B15)</f>
        <v/>
      </c>
      <c r="V21" s="4">
        <f>$B21*(1+$B$12)^(V15-$B15)</f>
        <v/>
      </c>
      <c r="W21" s="4">
        <f>$B21*(1+$B$12)^(W15-$B15)</f>
        <v/>
      </c>
      <c r="X21" s="4">
        <f>$B21*(1+$B$12)^(X15-$B15)</f>
        <v/>
      </c>
      <c r="Y21" s="4">
        <f>$B21*(1+$B$12)^(Y15-$B15)</f>
        <v/>
      </c>
      <c r="Z21" s="4">
        <f>$B21*(1+$B$12)^(Z15-$B15)</f>
        <v/>
      </c>
      <c r="AA21" s="4">
        <f>$B21*(1+$B$12)^(AA15-$B15)</f>
        <v/>
      </c>
      <c r="AB21" s="4">
        <f>$B21*(1+$B$12)^(AB15-$B15)</f>
        <v/>
      </c>
      <c r="AC21" s="4">
        <f>$B21*(1+$B$12)^(AC15-$B15)</f>
        <v/>
      </c>
      <c r="AD21" s="4">
        <f>$B21*(1+$B$12)^(AD15-$B15)</f>
        <v/>
      </c>
      <c r="AE21" s="4">
        <f>$B21*(1+$B$12)^(AE15-$B15)</f>
        <v/>
      </c>
      <c r="AF21" s="4">
        <f>$B21*(1+$B$12)^(AF15-$B15)</f>
        <v/>
      </c>
      <c r="AG21" s="4">
        <f>$B21*(1+$B$12)^(AG15-$B15)</f>
        <v/>
      </c>
      <c r="AH21" s="4">
        <f>$B21*(1+$B$12)^(AH15-$B15)</f>
        <v/>
      </c>
      <c r="AI21" s="4">
        <f>$B21*(1+$B$12)^(AI15-$B15)</f>
        <v/>
      </c>
      <c r="AJ21" s="4">
        <f>$B21*(1+$B$12)^(AJ15-$B15)</f>
        <v/>
      </c>
      <c r="AK21" s="4">
        <f>$B21*(1+$B$12)^(AK15-$B15)</f>
        <v/>
      </c>
      <c r="AL21" s="4">
        <f>$B21*(1+$B$12)^(AL15-$B15)</f>
        <v/>
      </c>
      <c r="AM21" s="4">
        <f>$B21*(1+$B$12)^(AM15-$B15)</f>
        <v/>
      </c>
      <c r="AN21" s="4">
        <f>$B21*(1+$B$12)^(AN15-$B15)</f>
        <v/>
      </c>
      <c r="AO21" s="4">
        <f>$B21*(1+$B$12)^(AO15-$B15)</f>
        <v/>
      </c>
      <c r="AP21" s="4">
        <f>$B21*(1+$B$12)^(AP15-$B15)</f>
        <v/>
      </c>
      <c r="AQ21" s="4">
        <f>$B21*(1+$B$12)^(AQ15-$B15)</f>
        <v/>
      </c>
      <c r="AR21" s="4">
        <f>$B21*(1+$B$12)^(AR15-$B15)</f>
        <v/>
      </c>
      <c r="AS21" s="4">
        <f>$B21*(1+$B$12)^(AS15-$B15)</f>
        <v/>
      </c>
      <c r="AT21" s="4">
        <f>$B21*(1+$B$12)^(AT15-$B15)</f>
        <v/>
      </c>
      <c r="AU21" s="4">
        <f>$B21*(1+$B$12)^(AU15-$B15)</f>
        <v/>
      </c>
    </row>
    <row r="22">
      <c r="A22" s="5" t="inlineStr">
        <is>
          <t>Max allowable Revenue</t>
        </is>
      </c>
      <c r="B22" s="4">
        <f>B20+B21</f>
        <v/>
      </c>
      <c r="C22" s="4">
        <f>C20+C21</f>
        <v/>
      </c>
      <c r="D22" s="4">
        <f>D20+D21</f>
        <v/>
      </c>
      <c r="E22" s="4">
        <f>E20+E21</f>
        <v/>
      </c>
      <c r="F22" s="4">
        <f>F20+F21</f>
        <v/>
      </c>
      <c r="G22" s="4">
        <f>G20+G21</f>
        <v/>
      </c>
      <c r="H22" s="4">
        <f>H20+H21</f>
        <v/>
      </c>
      <c r="I22" s="4">
        <f>I20+I21</f>
        <v/>
      </c>
      <c r="J22" s="4">
        <f>J20+J21</f>
        <v/>
      </c>
      <c r="K22" s="4">
        <f>K20+K21</f>
        <v/>
      </c>
      <c r="L22" s="4">
        <f>L20+L21</f>
        <v/>
      </c>
      <c r="M22" s="4">
        <f>M20+M21</f>
        <v/>
      </c>
      <c r="N22" s="4">
        <f>N20+N21</f>
        <v/>
      </c>
      <c r="O22" s="4">
        <f>O20+O21</f>
        <v/>
      </c>
      <c r="P22" s="4">
        <f>P20+P21</f>
        <v/>
      </c>
      <c r="Q22" s="4">
        <f>Q20+Q21</f>
        <v/>
      </c>
      <c r="R22" s="4">
        <f>R20+R21</f>
        <v/>
      </c>
      <c r="S22" s="4">
        <f>S20+S21</f>
        <v/>
      </c>
      <c r="T22" s="4">
        <f>T20+T21</f>
        <v/>
      </c>
      <c r="U22" s="4">
        <f>U20+U21</f>
        <v/>
      </c>
      <c r="V22" s="4">
        <f>V20+V21</f>
        <v/>
      </c>
      <c r="W22" s="4">
        <f>W20+W21</f>
        <v/>
      </c>
      <c r="X22" s="4">
        <f>X20+X21</f>
        <v/>
      </c>
      <c r="Y22" s="4">
        <f>Y20+Y21</f>
        <v/>
      </c>
      <c r="Z22" s="4">
        <f>Z20+Z21</f>
        <v/>
      </c>
      <c r="AA22" s="4">
        <f>AA20+AA21</f>
        <v/>
      </c>
      <c r="AB22" s="4">
        <f>AB20+AB21</f>
        <v/>
      </c>
      <c r="AC22" s="4">
        <f>AC20+AC21</f>
        <v/>
      </c>
      <c r="AD22" s="4">
        <f>AD20+AD21</f>
        <v/>
      </c>
      <c r="AE22" s="4">
        <f>AE20+AE21</f>
        <v/>
      </c>
      <c r="AF22" s="4">
        <f>AF20+AF21</f>
        <v/>
      </c>
      <c r="AG22" s="4">
        <f>AG20+AG21</f>
        <v/>
      </c>
      <c r="AH22" s="4">
        <f>AH20+AH21</f>
        <v/>
      </c>
      <c r="AI22" s="4">
        <f>AI20+AI21</f>
        <v/>
      </c>
      <c r="AJ22" s="4">
        <f>AJ20+AJ21</f>
        <v/>
      </c>
      <c r="AK22" s="4">
        <f>AK20+AK21</f>
        <v/>
      </c>
      <c r="AL22" s="4">
        <f>AL20+AL21</f>
        <v/>
      </c>
      <c r="AM22" s="4">
        <f>AM20+AM21</f>
        <v/>
      </c>
      <c r="AN22" s="4">
        <f>AN20+AN21</f>
        <v/>
      </c>
      <c r="AO22" s="4">
        <f>AO20+AO21</f>
        <v/>
      </c>
      <c r="AP22" s="4">
        <f>AP20+AP21</f>
        <v/>
      </c>
      <c r="AQ22" s="4">
        <f>AQ20+AQ21</f>
        <v/>
      </c>
      <c r="AR22" s="4">
        <f>AR20+AR21</f>
        <v/>
      </c>
      <c r="AS22" s="4">
        <f>AS20+AS21</f>
        <v/>
      </c>
      <c r="AT22" s="4">
        <f>AT20+AT21</f>
        <v/>
      </c>
      <c r="AU22" s="4">
        <f>AU20+AU21</f>
        <v/>
      </c>
    </row>
    <row r="23">
      <c r="A23" s="8" t="inlineStr">
        <is>
          <t>Ratio tariff impact (normalised to 2020)</t>
        </is>
      </c>
      <c r="B23" s="9">
        <f>B22/$B22</f>
        <v/>
      </c>
      <c r="C23" s="9">
        <f>C22/$B22</f>
        <v/>
      </c>
      <c r="D23" s="9">
        <f>D22/$B22</f>
        <v/>
      </c>
      <c r="E23" s="9">
        <f>E22/$B22</f>
        <v/>
      </c>
      <c r="F23" s="9">
        <f>F22/$B22</f>
        <v/>
      </c>
      <c r="G23" s="9">
        <f>G22/$B22</f>
        <v/>
      </c>
      <c r="H23" s="9">
        <f>H22/$B22</f>
        <v/>
      </c>
      <c r="I23" s="9">
        <f>I22/$B22</f>
        <v/>
      </c>
      <c r="J23" s="9">
        <f>J22/$B22</f>
        <v/>
      </c>
      <c r="K23" s="9">
        <f>K22/$B22</f>
        <v/>
      </c>
      <c r="L23" s="9">
        <f>L22/$B22</f>
        <v/>
      </c>
      <c r="M23" s="9">
        <f>M22/$B22</f>
        <v/>
      </c>
      <c r="N23" s="9">
        <f>N22/$B22</f>
        <v/>
      </c>
      <c r="O23" s="9">
        <f>O22/$B22</f>
        <v/>
      </c>
      <c r="P23" s="9">
        <f>P22/$B22</f>
        <v/>
      </c>
      <c r="Q23" s="9">
        <f>Q22/$B22</f>
        <v/>
      </c>
      <c r="R23" s="9">
        <f>R22/$B22</f>
        <v/>
      </c>
      <c r="S23" s="9">
        <f>S22/$B22</f>
        <v/>
      </c>
      <c r="T23" s="9">
        <f>T22/$B22</f>
        <v/>
      </c>
      <c r="U23" s="9">
        <f>U22/$B22</f>
        <v/>
      </c>
      <c r="V23" s="9">
        <f>V22/$B22</f>
        <v/>
      </c>
      <c r="W23" s="9">
        <f>W22/$B22</f>
        <v/>
      </c>
      <c r="X23" s="9">
        <f>X22/$B22</f>
        <v/>
      </c>
      <c r="Y23" s="9">
        <f>Y22/$B22</f>
        <v/>
      </c>
      <c r="Z23" s="9">
        <f>Z22/$B22</f>
        <v/>
      </c>
      <c r="AA23" s="9">
        <f>AA22/$B22</f>
        <v/>
      </c>
      <c r="AB23" s="9">
        <f>AB22/$B22</f>
        <v/>
      </c>
      <c r="AC23" s="9">
        <f>AC22/$B22</f>
        <v/>
      </c>
      <c r="AD23" s="9">
        <f>AD22/$B22</f>
        <v/>
      </c>
      <c r="AE23" s="9">
        <f>AE22/$B22</f>
        <v/>
      </c>
      <c r="AF23" s="9">
        <f>AF22/$B22</f>
        <v/>
      </c>
      <c r="AG23" s="9">
        <f>AG22/$B22</f>
        <v/>
      </c>
      <c r="AH23" s="9">
        <f>AH22/$B22</f>
        <v/>
      </c>
      <c r="AI23" s="9">
        <f>AI22/$B22</f>
        <v/>
      </c>
      <c r="AJ23" s="9">
        <f>AJ22/$B22</f>
        <v/>
      </c>
      <c r="AK23" s="9">
        <f>AK22/$B22</f>
        <v/>
      </c>
      <c r="AL23" s="9">
        <f>AL22/$B22</f>
        <v/>
      </c>
      <c r="AM23" s="9">
        <f>AM22/$B22</f>
        <v/>
      </c>
      <c r="AN23" s="9">
        <f>AN22/$B22</f>
        <v/>
      </c>
      <c r="AO23" s="9">
        <f>AO22/$B22</f>
        <v/>
      </c>
      <c r="AP23" s="9">
        <f>AP22/$B22</f>
        <v/>
      </c>
      <c r="AQ23" s="9">
        <f>AQ22/$B22</f>
        <v/>
      </c>
      <c r="AR23" s="9">
        <f>AR22/$B22</f>
        <v/>
      </c>
      <c r="AS23" s="9">
        <f>AS22/$B22</f>
        <v/>
      </c>
      <c r="AT23" s="9">
        <f>AT22/$B22</f>
        <v/>
      </c>
      <c r="AU23" s="9">
        <f>AU22/$B22</f>
        <v/>
      </c>
    </row>
    <row r="24">
      <c r="B24" s="12">
        <f>B20/B22</f>
        <v/>
      </c>
      <c r="C24" s="12">
        <f>C20/C22</f>
        <v/>
      </c>
      <c r="D24" s="12">
        <f>D20/D22</f>
        <v/>
      </c>
      <c r="E24" s="12">
        <f>E20/E22</f>
        <v/>
      </c>
      <c r="F24" s="12">
        <f>F20/F22</f>
        <v/>
      </c>
      <c r="G24" s="12">
        <f>G20/G22</f>
        <v/>
      </c>
      <c r="H24" s="12">
        <f>H20/H22</f>
        <v/>
      </c>
      <c r="I24" s="12">
        <f>I20/I22</f>
        <v/>
      </c>
      <c r="J24" s="12">
        <f>J20/J22</f>
        <v/>
      </c>
      <c r="K24" s="12">
        <f>K20/K22</f>
        <v/>
      </c>
      <c r="L24" s="12">
        <f>L20/L22</f>
        <v/>
      </c>
      <c r="M24" s="12">
        <f>M20/M22</f>
        <v/>
      </c>
      <c r="N24" s="12">
        <f>N20/N22</f>
        <v/>
      </c>
      <c r="O24" s="12">
        <f>O20/O22</f>
        <v/>
      </c>
      <c r="P24" s="12">
        <f>P20/P22</f>
        <v/>
      </c>
      <c r="Q24" s="12">
        <f>Q20/Q22</f>
        <v/>
      </c>
      <c r="R24" s="12">
        <f>R20/R22</f>
        <v/>
      </c>
      <c r="S24" s="12">
        <f>S20/S22</f>
        <v/>
      </c>
      <c r="T24" s="12">
        <f>T20/T22</f>
        <v/>
      </c>
      <c r="U24" s="12">
        <f>U20/U22</f>
        <v/>
      </c>
      <c r="V24" s="12">
        <f>V20/V22</f>
        <v/>
      </c>
      <c r="W24" s="12">
        <f>W20/W22</f>
        <v/>
      </c>
      <c r="X24" s="12">
        <f>X20/X22</f>
        <v/>
      </c>
      <c r="Y24" s="12">
        <f>Y20/Y22</f>
        <v/>
      </c>
      <c r="Z24" s="12">
        <f>Z20/Z22</f>
        <v/>
      </c>
      <c r="AA24" s="12">
        <f>AA20/AA22</f>
        <v/>
      </c>
      <c r="AB24" s="12">
        <f>AB20/AB22</f>
        <v/>
      </c>
      <c r="AC24" s="12">
        <f>AC20/AC22</f>
        <v/>
      </c>
      <c r="AD24" s="12">
        <f>AD20/AD22</f>
        <v/>
      </c>
      <c r="AE24" s="12">
        <f>AE20/AE22</f>
        <v/>
      </c>
      <c r="AF24" s="12">
        <f>AF20/AF22</f>
        <v/>
      </c>
      <c r="AG24" s="12">
        <f>AG20/AG22</f>
        <v/>
      </c>
      <c r="AH24" s="12">
        <f>AH20/AH22</f>
        <v/>
      </c>
      <c r="AI24" s="12">
        <f>AI20/AI22</f>
        <v/>
      </c>
      <c r="AJ24" s="12">
        <f>AJ20/AJ22</f>
        <v/>
      </c>
      <c r="AK24" s="12">
        <f>AK20/AK22</f>
        <v/>
      </c>
      <c r="AL24" s="12">
        <f>AL20/AL22</f>
        <v/>
      </c>
      <c r="AM24" s="12">
        <f>AM20/AM22</f>
        <v/>
      </c>
      <c r="AN24" s="12">
        <f>AN20/AN22</f>
        <v/>
      </c>
      <c r="AO24" s="12">
        <f>AO20/AO22</f>
        <v/>
      </c>
      <c r="AP24" s="12">
        <f>AP20/AP22</f>
        <v/>
      </c>
      <c r="AQ24" s="12">
        <f>AQ20/AQ22</f>
        <v/>
      </c>
      <c r="AR24" s="12">
        <f>AR20/AR22</f>
        <v/>
      </c>
      <c r="AS24" s="12">
        <f>AS20/AS22</f>
        <v/>
      </c>
      <c r="AT24" s="12">
        <f>AT20/AT22</f>
        <v/>
      </c>
      <c r="AU24" s="12">
        <f>AU20/AU22</f>
        <v/>
      </c>
    </row>
    <row r="27">
      <c r="A27" s="16" t="inlineStr">
        <is>
          <t>Price impact calculation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B28" s="12" t="n"/>
      <c r="C28" s="12" t="n"/>
      <c r="D28" s="12" t="n"/>
      <c r="E28" s="1" t="n"/>
      <c r="F28" s="1" t="n">
        <v>2020</v>
      </c>
      <c r="G28" s="1" t="n">
        <v>2030</v>
      </c>
      <c r="H28" s="1" t="n">
        <v>2040</v>
      </c>
      <c r="I28" s="1" t="n">
        <v>2050</v>
      </c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</row>
    <row r="29">
      <c r="A29" s="1" t="inlineStr">
        <is>
          <t>today's distribution tariff</t>
        </is>
      </c>
      <c r="B29" s="11" t="n">
        <v>53</v>
      </c>
      <c r="C29" s="12" t="inlineStr">
        <is>
          <t>EUR/MWh</t>
        </is>
      </c>
      <c r="D29" s="12" t="n"/>
      <c r="E29" s="12" t="inlineStr">
        <is>
          <t>TWh</t>
        </is>
      </c>
      <c r="F29" s="11" t="n">
        <v>2589.565211</v>
      </c>
      <c r="G29" s="11" t="n">
        <v>2846.579940410184</v>
      </c>
      <c r="H29" s="11" t="n">
        <v>3735.267597829074</v>
      </c>
      <c r="I29" s="11" t="n">
        <v>4629.943959174688</v>
      </c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</row>
    <row r="30">
      <c r="A30" s="1" t="inlineStr">
        <is>
          <t>2020 elec consumption</t>
        </is>
      </c>
      <c r="B30" s="2" t="n">
        <v>2590</v>
      </c>
      <c r="C30" t="inlineStr">
        <is>
          <t>TWh</t>
        </is>
      </c>
      <c r="E30" t="inlineStr">
        <is>
          <t>TWh DSO</t>
        </is>
      </c>
      <c r="F30" s="11">
        <f>F29*$B$31</f>
        <v/>
      </c>
      <c r="G30" s="11" t="n">
        <v>2846.579940410184</v>
      </c>
      <c r="H30" s="11" t="n">
        <v>3735.267597829074</v>
      </c>
      <c r="I30" s="11">
        <f>I29*$B$31</f>
        <v/>
      </c>
    </row>
    <row r="31">
      <c r="A31" s="1" t="inlineStr">
        <is>
          <t>Assumption DSO share consumption</t>
        </is>
      </c>
      <c r="B31" s="2" t="n">
        <v>0.8</v>
      </c>
      <c r="E31" t="inlineStr">
        <is>
          <t>Ratio Consumption</t>
        </is>
      </c>
      <c r="F31" s="21">
        <f>F30/$F30</f>
        <v/>
      </c>
      <c r="G31" s="21">
        <f>G30/$F30</f>
        <v/>
      </c>
      <c r="H31" s="21">
        <f>H30/$F30</f>
        <v/>
      </c>
      <c r="I31" s="21">
        <f>I30/$F30</f>
        <v/>
      </c>
    </row>
    <row r="32">
      <c r="A32" s="1" t="inlineStr">
        <is>
          <t>Estimated DSO revenue</t>
        </is>
      </c>
      <c r="B32" s="14">
        <f>B30*B31*10^6*B29*10^-9</f>
        <v/>
      </c>
      <c r="C32" t="inlineStr">
        <is>
          <t>billion EUR</t>
        </is>
      </c>
      <c r="E32" s="12" t="inlineStr">
        <is>
          <t>Ratio revenue</t>
        </is>
      </c>
      <c r="F32" s="13">
        <f>B23</f>
        <v/>
      </c>
      <c r="G32" s="13">
        <f>L23</f>
        <v/>
      </c>
      <c r="H32" s="13">
        <f>V23</f>
        <v/>
      </c>
      <c r="I32" s="13">
        <f>AF23</f>
        <v/>
      </c>
    </row>
    <row r="33">
      <c r="A33" s="19" t="inlineStr">
        <is>
          <t>Check error against Max Allowable Revenue from revenue model</t>
        </is>
      </c>
      <c r="B33" s="20">
        <f>(B32-B22)/B32</f>
        <v/>
      </c>
      <c r="E33" t="inlineStr">
        <is>
          <t>revenue</t>
        </is>
      </c>
      <c r="F33" s="14">
        <f>B32</f>
        <v/>
      </c>
      <c r="G33" s="14">
        <f>$F33*G32</f>
        <v/>
      </c>
      <c r="H33" s="14">
        <f>$F33*H32</f>
        <v/>
      </c>
      <c r="I33" s="14">
        <f>$F33*I32</f>
        <v/>
      </c>
    </row>
    <row r="34">
      <c r="E34" t="inlineStr">
        <is>
          <t>distribution charges (EUR/MWh)</t>
        </is>
      </c>
      <c r="F34" s="14">
        <f>F33*1000/F30</f>
        <v/>
      </c>
      <c r="G34" s="14">
        <f>G33*1000/G30</f>
        <v/>
      </c>
      <c r="H34" s="14">
        <f>H33*1000/H30</f>
        <v/>
      </c>
      <c r="I34" s="14">
        <f>I33*1000/I30</f>
        <v/>
      </c>
    </row>
    <row r="35">
      <c r="E35" t="inlineStr">
        <is>
          <t>Direct DSO tariff MAR/TWh (EUR/MWh)</t>
        </is>
      </c>
      <c r="F35">
        <f>B22*1000/F30</f>
        <v/>
      </c>
      <c r="G35">
        <f>L22*1000/G30</f>
        <v/>
      </c>
      <c r="H35">
        <f>V22*1000/H30</f>
        <v/>
      </c>
    </row>
    <row r="36">
      <c r="A36" t="inlineStr">
        <is>
          <t>Verbal Input on share of distribution consumption in national total</t>
        </is>
      </c>
      <c r="B36" t="inlineStr">
        <is>
          <t>France</t>
        </is>
      </c>
      <c r="C36" t="inlineStr">
        <is>
          <t>Italy</t>
        </is>
      </c>
      <c r="F36" s="1" t="n">
        <v>2018</v>
      </c>
      <c r="G36" s="1" t="n">
        <v>2030</v>
      </c>
      <c r="H36" s="1" t="n">
        <v>2040</v>
      </c>
      <c r="I36" s="1" t="n">
        <v>2050</v>
      </c>
    </row>
    <row r="37">
      <c r="A37" t="inlineStr">
        <is>
          <t xml:space="preserve">Share of electricity </t>
        </is>
      </c>
      <c r="B37" t="n">
        <v>80</v>
      </c>
      <c r="C37" t="n">
        <v>80</v>
      </c>
    </row>
    <row r="39">
      <c r="A39" t="inlineStr">
        <is>
          <t>Eurostat - T&amp;D tariff</t>
        </is>
      </c>
      <c r="B39" t="n">
        <v>66</v>
      </c>
      <c r="C39" t="n">
        <v>2022</v>
      </c>
      <c r="I39">
        <f>32*3.3</f>
        <v/>
      </c>
    </row>
    <row r="40">
      <c r="I40">
        <f>129+105</f>
        <v/>
      </c>
    </row>
    <row r="41">
      <c r="B41" s="18" t="n"/>
      <c r="I41">
        <f>I40/3.7</f>
        <v/>
      </c>
    </row>
    <row r="45">
      <c r="F45" t="n">
        <v>1.82</v>
      </c>
    </row>
    <row r="46">
      <c r="F46">
        <f>4630/2590</f>
        <v/>
      </c>
    </row>
    <row r="47">
      <c r="F47">
        <f>1.82/1.7876</f>
        <v/>
      </c>
    </row>
    <row r="48">
      <c r="F48">
        <f>54/53</f>
        <v/>
      </c>
    </row>
    <row r="50">
      <c r="A50" t="inlineStr">
        <is>
          <t>PyPSA scenario 85%: 2026-2030 CAPEX = 2030 overnight/5; 2031-2040 CAPEX = 2040 incremental overnight/10 (EUR2015). G30/H30 are DSO HV→LV TWh (no 80% factor). 2020-2025 and 2041+ CAPEX unchanged.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4.5"/>
  <cols>
    <col width="39.1796875" customWidth="1" min="1" max="1"/>
    <col width="11.81640625" bestFit="1" customWidth="1" min="2" max="2"/>
  </cols>
  <sheetData>
    <row r="1">
      <c r="B1" s="2" t="inlineStr">
        <is>
          <t>INPUT</t>
        </is>
      </c>
    </row>
    <row r="2">
      <c r="B2" s="3" t="inlineStr">
        <is>
          <t>CALC</t>
        </is>
      </c>
    </row>
    <row r="4">
      <c r="A4" s="16" t="inlineStr">
        <is>
          <t>Simplified model of DSO allowable revenue for Europe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6">
      <c r="A6" t="inlineStr">
        <is>
          <t>Max allowable revenue</t>
        </is>
      </c>
      <c r="B6" t="inlineStr">
        <is>
          <t>(RAB*WACC)+Depreciation+ OPEX</t>
        </is>
      </c>
    </row>
    <row r="8">
      <c r="A8" s="1" t="inlineStr">
        <is>
          <t>WACC</t>
        </is>
      </c>
      <c r="B8" s="6" t="n">
        <v>0.054</v>
      </c>
    </row>
    <row r="9">
      <c r="A9" s="1" t="inlineStr">
        <is>
          <t>Average Asset Lifetime</t>
        </is>
      </c>
      <c r="B9" s="2" t="n">
        <v>42</v>
      </c>
      <c r="E9" t="inlineStr">
        <is>
          <t>Verbal Input on Share of CAPEX in allowance revenue</t>
        </is>
      </c>
    </row>
    <row r="10">
      <c r="A10" s="1" t="inlineStr">
        <is>
          <t>Depreciation rate</t>
        </is>
      </c>
      <c r="B10" s="7">
        <f>1/B9</f>
        <v/>
      </c>
      <c r="E10" t="inlineStr">
        <is>
          <t>Germany</t>
        </is>
      </c>
      <c r="F10" t="inlineStr">
        <is>
          <t>Italy</t>
        </is>
      </c>
      <c r="G10" t="inlineStr">
        <is>
          <t>Ireland</t>
        </is>
      </c>
      <c r="H10" t="inlineStr">
        <is>
          <t>Portugal</t>
        </is>
      </c>
    </row>
    <row r="11">
      <c r="A11" s="1" t="inlineStr">
        <is>
          <t>Share of CAPEX in allowable revenue</t>
        </is>
      </c>
      <c r="B11" s="10" t="n">
        <v>0.5</v>
      </c>
      <c r="E11" t="n">
        <v>40</v>
      </c>
      <c r="F11" t="n">
        <v>66</v>
      </c>
      <c r="G11" t="n">
        <v>80</v>
      </c>
      <c r="H11" t="n">
        <v>40</v>
      </c>
    </row>
    <row r="12">
      <c r="A12" s="1" t="inlineStr">
        <is>
          <t>OPEX Growth</t>
        </is>
      </c>
      <c r="B12" s="10" t="n">
        <v>0.01</v>
      </c>
    </row>
    <row r="13">
      <c r="A13" s="1" t="inlineStr">
        <is>
          <t>Starting RAB Europe</t>
        </is>
      </c>
      <c r="B13" s="2" t="n">
        <v>700</v>
      </c>
      <c r="C13" t="inlineStr">
        <is>
          <t>B EUR</t>
        </is>
      </c>
    </row>
    <row r="15">
      <c r="A15" s="5" t="inlineStr">
        <is>
          <t>B EUR</t>
        </is>
      </c>
      <c r="B15" s="5" t="n">
        <v>2020</v>
      </c>
      <c r="C15" s="5" t="n">
        <v>2021</v>
      </c>
      <c r="D15" s="5" t="n">
        <v>2022</v>
      </c>
      <c r="E15" s="5" t="n">
        <v>2023</v>
      </c>
      <c r="F15" s="5" t="n">
        <v>2024</v>
      </c>
      <c r="G15" s="5" t="n">
        <v>2025</v>
      </c>
      <c r="H15" s="5" t="n">
        <v>2026</v>
      </c>
      <c r="I15" s="5" t="n">
        <v>2027</v>
      </c>
      <c r="J15" s="5" t="n">
        <v>2028</v>
      </c>
      <c r="K15" s="5" t="n">
        <v>2029</v>
      </c>
      <c r="L15" s="5" t="n">
        <v>2030</v>
      </c>
      <c r="M15" s="5" t="n">
        <v>2031</v>
      </c>
      <c r="N15" s="5" t="n">
        <v>2032</v>
      </c>
      <c r="O15" s="5" t="n">
        <v>2033</v>
      </c>
      <c r="P15" s="5" t="n">
        <v>2034</v>
      </c>
      <c r="Q15" s="5" t="n">
        <v>2035</v>
      </c>
      <c r="R15" s="5" t="n">
        <v>2036</v>
      </c>
      <c r="S15" s="5" t="n">
        <v>2037</v>
      </c>
      <c r="T15" s="5" t="n">
        <v>2038</v>
      </c>
      <c r="U15" s="5" t="n">
        <v>2039</v>
      </c>
      <c r="V15" s="5" t="n">
        <v>2040</v>
      </c>
      <c r="W15" s="5" t="n">
        <v>2041</v>
      </c>
      <c r="X15" s="5" t="n">
        <v>2042</v>
      </c>
      <c r="Y15" s="5" t="n">
        <v>2043</v>
      </c>
      <c r="Z15" s="5" t="n">
        <v>2044</v>
      </c>
      <c r="AA15" s="5" t="n">
        <v>2045</v>
      </c>
      <c r="AB15" s="5" t="n">
        <v>2046</v>
      </c>
      <c r="AC15" s="5" t="n">
        <v>2047</v>
      </c>
      <c r="AD15" s="5" t="n">
        <v>2048</v>
      </c>
      <c r="AE15" s="5" t="n">
        <v>2049</v>
      </c>
      <c r="AF15" s="5" t="n">
        <v>2050</v>
      </c>
      <c r="AG15" s="5" t="n">
        <v>2051</v>
      </c>
      <c r="AH15" s="5" t="n">
        <v>2052</v>
      </c>
      <c r="AI15" s="5" t="n">
        <v>2053</v>
      </c>
      <c r="AJ15" s="5" t="n">
        <v>2054</v>
      </c>
      <c r="AK15" s="5" t="n">
        <v>2055</v>
      </c>
      <c r="AL15" s="5" t="n">
        <v>2056</v>
      </c>
      <c r="AM15" s="5" t="n">
        <v>2057</v>
      </c>
      <c r="AN15" s="5" t="n">
        <v>2058</v>
      </c>
      <c r="AO15" s="5" t="n">
        <v>2059</v>
      </c>
      <c r="AP15" s="5" t="n">
        <v>2060</v>
      </c>
      <c r="AQ15" s="5" t="n">
        <v>2061</v>
      </c>
      <c r="AR15" s="5" t="n">
        <v>2062</v>
      </c>
      <c r="AS15" s="5" t="n">
        <v>2063</v>
      </c>
      <c r="AT15" s="5" t="n">
        <v>2064</v>
      </c>
      <c r="AU15" s="5" t="n">
        <v>2065</v>
      </c>
    </row>
    <row r="16">
      <c r="A16" s="5" t="inlineStr">
        <is>
          <t>Opening RAB</t>
        </is>
      </c>
      <c r="B16" s="3">
        <f>B13</f>
        <v/>
      </c>
      <c r="C16" s="4">
        <f>B19</f>
        <v/>
      </c>
      <c r="D16" s="4">
        <f>C19</f>
        <v/>
      </c>
      <c r="E16" s="4">
        <f>D19</f>
        <v/>
      </c>
      <c r="F16" s="4">
        <f>E19</f>
        <v/>
      </c>
      <c r="G16" s="4">
        <f>F19</f>
        <v/>
      </c>
      <c r="H16" s="4">
        <f>G19</f>
        <v/>
      </c>
      <c r="I16" s="4">
        <f>H19</f>
        <v/>
      </c>
      <c r="J16" s="4">
        <f>I19</f>
        <v/>
      </c>
      <c r="K16" s="4">
        <f>J19</f>
        <v/>
      </c>
      <c r="L16" s="4">
        <f>K19</f>
        <v/>
      </c>
      <c r="M16" s="4">
        <f>L19</f>
        <v/>
      </c>
      <c r="N16" s="4">
        <f>M19</f>
        <v/>
      </c>
      <c r="O16" s="4">
        <f>N19</f>
        <v/>
      </c>
      <c r="P16" s="4">
        <f>O19</f>
        <v/>
      </c>
      <c r="Q16" s="4">
        <f>P19</f>
        <v/>
      </c>
      <c r="R16" s="4">
        <f>Q19</f>
        <v/>
      </c>
      <c r="S16" s="4">
        <f>R19</f>
        <v/>
      </c>
      <c r="T16" s="4">
        <f>S19</f>
        <v/>
      </c>
      <c r="U16" s="4">
        <f>T19</f>
        <v/>
      </c>
      <c r="V16" s="4">
        <f>U19</f>
        <v/>
      </c>
      <c r="W16" s="4">
        <f>V19</f>
        <v/>
      </c>
      <c r="X16" s="4">
        <f>W19</f>
        <v/>
      </c>
      <c r="Y16" s="4">
        <f>X19</f>
        <v/>
      </c>
      <c r="Z16" s="4">
        <f>Y19</f>
        <v/>
      </c>
      <c r="AA16" s="4">
        <f>Z19</f>
        <v/>
      </c>
      <c r="AB16" s="4">
        <f>AA19</f>
        <v/>
      </c>
      <c r="AC16" s="4">
        <f>AB19</f>
        <v/>
      </c>
      <c r="AD16" s="4">
        <f>AC19</f>
        <v/>
      </c>
      <c r="AE16" s="4">
        <f>AD19</f>
        <v/>
      </c>
      <c r="AF16" s="4">
        <f>AE19</f>
        <v/>
      </c>
      <c r="AG16" s="4">
        <f>AF19</f>
        <v/>
      </c>
      <c r="AH16" s="4">
        <f>AG19</f>
        <v/>
      </c>
      <c r="AI16" s="4">
        <f>AH19</f>
        <v/>
      </c>
      <c r="AJ16" s="4">
        <f>AI19</f>
        <v/>
      </c>
      <c r="AK16" s="4">
        <f>AJ19</f>
        <v/>
      </c>
      <c r="AL16" s="4">
        <f>AK19</f>
        <v/>
      </c>
      <c r="AM16" s="4">
        <f>AL19</f>
        <v/>
      </c>
      <c r="AN16" s="4">
        <f>AM19</f>
        <v/>
      </c>
      <c r="AO16" s="4">
        <f>AN19</f>
        <v/>
      </c>
      <c r="AP16" s="4">
        <f>AO19</f>
        <v/>
      </c>
      <c r="AQ16" s="4">
        <f>AP19</f>
        <v/>
      </c>
      <c r="AR16" s="4">
        <f>AQ19</f>
        <v/>
      </c>
      <c r="AS16" s="4">
        <f>AR19</f>
        <v/>
      </c>
      <c r="AT16" s="4">
        <f>AS19</f>
        <v/>
      </c>
      <c r="AU16" s="4">
        <f>AT19</f>
        <v/>
      </c>
    </row>
    <row r="17">
      <c r="A17" s="5" t="inlineStr">
        <is>
          <t>CAPEX addition</t>
        </is>
      </c>
      <c r="B17" s="2" t="n">
        <v>29</v>
      </c>
      <c r="C17" s="2" t="n">
        <v>32</v>
      </c>
      <c r="D17" s="2" t="n">
        <v>35</v>
      </c>
      <c r="E17" s="2" t="n">
        <v>36</v>
      </c>
      <c r="F17" s="2" t="n">
        <v>40</v>
      </c>
      <c r="G17" s="2" t="n">
        <v>60</v>
      </c>
      <c r="H17" s="2" t="n">
        <v>48.41638869232232</v>
      </c>
      <c r="I17" s="2" t="n">
        <v>48.41638869232232</v>
      </c>
      <c r="J17" s="2" t="n">
        <v>48.41638869232232</v>
      </c>
      <c r="K17" s="2" t="n">
        <v>48.41638869232232</v>
      </c>
      <c r="L17" s="2" t="n">
        <v>48.41638869232232</v>
      </c>
      <c r="M17" s="2" t="n">
        <v>11.19681677590624</v>
      </c>
      <c r="N17" s="2" t="n">
        <v>11.19681677590624</v>
      </c>
      <c r="O17" s="2" t="n">
        <v>11.19681677590624</v>
      </c>
      <c r="P17" s="2" t="n">
        <v>11.19681677590624</v>
      </c>
      <c r="Q17" s="2" t="n">
        <v>11.19681677590624</v>
      </c>
      <c r="R17" s="2" t="n">
        <v>11.19681677590624</v>
      </c>
      <c r="S17" s="2" t="n">
        <v>11.19681677590624</v>
      </c>
      <c r="T17" s="2" t="n">
        <v>11.19681677590624</v>
      </c>
      <c r="U17" s="2" t="n">
        <v>11.19681677590624</v>
      </c>
      <c r="V17" s="2" t="n">
        <v>11.19681677590624</v>
      </c>
      <c r="W17" s="2" t="n">
        <v>60</v>
      </c>
      <c r="X17" s="2" t="n">
        <v>60</v>
      </c>
      <c r="Y17" s="2" t="n">
        <v>60</v>
      </c>
      <c r="Z17" s="2" t="n">
        <v>60</v>
      </c>
      <c r="AA17" s="2" t="n">
        <v>60</v>
      </c>
      <c r="AB17" s="2" t="n">
        <v>60</v>
      </c>
      <c r="AC17" s="2" t="n">
        <v>60</v>
      </c>
      <c r="AD17" s="2" t="n">
        <v>60</v>
      </c>
      <c r="AE17" s="2" t="n">
        <v>60</v>
      </c>
      <c r="AF17" s="2" t="n">
        <v>60</v>
      </c>
      <c r="AG17" s="2" t="n">
        <v>60</v>
      </c>
      <c r="AH17" s="2" t="n">
        <v>60</v>
      </c>
      <c r="AI17" s="2" t="n">
        <v>60</v>
      </c>
      <c r="AJ17" s="2" t="n">
        <v>60</v>
      </c>
      <c r="AK17" s="2" t="n">
        <v>60</v>
      </c>
      <c r="AL17" s="2" t="n">
        <v>60</v>
      </c>
      <c r="AM17" s="2" t="n">
        <v>60</v>
      </c>
      <c r="AN17" s="2" t="n">
        <v>60</v>
      </c>
      <c r="AO17" s="2" t="n">
        <v>60</v>
      </c>
      <c r="AP17" s="2" t="n">
        <v>60</v>
      </c>
      <c r="AQ17" s="2" t="n">
        <v>60</v>
      </c>
      <c r="AR17" s="2" t="n">
        <v>60</v>
      </c>
      <c r="AS17" s="2" t="n">
        <v>60</v>
      </c>
      <c r="AT17" s="2" t="n">
        <v>60</v>
      </c>
      <c r="AU17" s="2" t="n">
        <v>60</v>
      </c>
    </row>
    <row r="18">
      <c r="A18" s="5" t="inlineStr">
        <is>
          <t>Depreciation</t>
        </is>
      </c>
      <c r="B18" s="4">
        <f>(B16*$B10)</f>
        <v/>
      </c>
      <c r="C18" s="4">
        <f>(C16*$B10)</f>
        <v/>
      </c>
      <c r="D18" s="4">
        <f>(D16*$B10)</f>
        <v/>
      </c>
      <c r="E18" s="4">
        <f>(E16*$B10)</f>
        <v/>
      </c>
      <c r="F18" s="4">
        <f>(F16*$B10)</f>
        <v/>
      </c>
      <c r="G18" s="4">
        <f>(G16*$B10)</f>
        <v/>
      </c>
      <c r="H18" s="4">
        <f>(H16*$B10)</f>
        <v/>
      </c>
      <c r="I18" s="4">
        <f>(I16*$B10)</f>
        <v/>
      </c>
      <c r="J18" s="4">
        <f>(J16*$B10)</f>
        <v/>
      </c>
      <c r="K18" s="4">
        <f>(K16*$B10)</f>
        <v/>
      </c>
      <c r="L18" s="4">
        <f>(L16*$B10)</f>
        <v/>
      </c>
      <c r="M18" s="15">
        <f>L18</f>
        <v/>
      </c>
      <c r="N18" s="15">
        <f>M18</f>
        <v/>
      </c>
      <c r="O18" s="15">
        <f>N18</f>
        <v/>
      </c>
      <c r="P18" s="15">
        <f>O18</f>
        <v/>
      </c>
      <c r="Q18" s="15">
        <f>P18</f>
        <v/>
      </c>
      <c r="R18" s="15">
        <f>Q18</f>
        <v/>
      </c>
      <c r="S18" s="15">
        <f>R18</f>
        <v/>
      </c>
      <c r="T18" s="15">
        <f>S18</f>
        <v/>
      </c>
      <c r="U18" s="15">
        <f>T18</f>
        <v/>
      </c>
      <c r="V18" s="15">
        <f>U18</f>
        <v/>
      </c>
      <c r="W18" s="15">
        <f>V18</f>
        <v/>
      </c>
      <c r="X18" s="15">
        <f>W18</f>
        <v/>
      </c>
      <c r="Y18" s="15">
        <f>X18</f>
        <v/>
      </c>
      <c r="Z18" s="15">
        <f>Y18</f>
        <v/>
      </c>
      <c r="AA18" s="15">
        <f>Z18</f>
        <v/>
      </c>
      <c r="AB18" s="15">
        <f>AA18</f>
        <v/>
      </c>
      <c r="AC18" s="15">
        <f>AB18</f>
        <v/>
      </c>
      <c r="AD18" s="15">
        <f>AC18</f>
        <v/>
      </c>
      <c r="AE18" s="15">
        <f>AD18</f>
        <v/>
      </c>
      <c r="AF18" s="15">
        <f>AE18</f>
        <v/>
      </c>
      <c r="AG18" s="15">
        <f>AF18</f>
        <v/>
      </c>
      <c r="AH18" s="15">
        <f>AG18</f>
        <v/>
      </c>
      <c r="AI18" s="15">
        <f>AH18</f>
        <v/>
      </c>
      <c r="AJ18" s="15">
        <f>AI18</f>
        <v/>
      </c>
      <c r="AK18" s="15">
        <f>AJ18</f>
        <v/>
      </c>
      <c r="AL18" s="15">
        <f>AK18</f>
        <v/>
      </c>
      <c r="AM18" s="15">
        <f>AL18</f>
        <v/>
      </c>
      <c r="AN18" s="15">
        <f>AM18</f>
        <v/>
      </c>
      <c r="AO18" s="15">
        <f>AN18</f>
        <v/>
      </c>
      <c r="AP18" s="15">
        <f>AO18</f>
        <v/>
      </c>
      <c r="AQ18" s="15">
        <f>AP18</f>
        <v/>
      </c>
      <c r="AR18" s="15">
        <f>AQ18</f>
        <v/>
      </c>
      <c r="AS18" s="15">
        <f>AR18</f>
        <v/>
      </c>
      <c r="AT18" s="15">
        <f>AS18</f>
        <v/>
      </c>
      <c r="AU18" s="15">
        <f>AT18</f>
        <v/>
      </c>
    </row>
    <row r="19">
      <c r="A19" s="5" t="inlineStr">
        <is>
          <t>New RAB</t>
        </is>
      </c>
      <c r="B19" s="4">
        <f>B16+B17-B18</f>
        <v/>
      </c>
      <c r="C19" s="4">
        <f>C16+C17-C18</f>
        <v/>
      </c>
      <c r="D19" s="4">
        <f>D16+D17-D18</f>
        <v/>
      </c>
      <c r="E19" s="4">
        <f>E16+E17-E18</f>
        <v/>
      </c>
      <c r="F19" s="4">
        <f>F16+F17-F18</f>
        <v/>
      </c>
      <c r="G19" s="4">
        <f>G16+G17-G18</f>
        <v/>
      </c>
      <c r="H19" s="4">
        <f>H16+H17-H18</f>
        <v/>
      </c>
      <c r="I19" s="4">
        <f>I16+I17-I18</f>
        <v/>
      </c>
      <c r="J19" s="4">
        <f>J16+J17-J18</f>
        <v/>
      </c>
      <c r="K19" s="4">
        <f>K16+K17-K18</f>
        <v/>
      </c>
      <c r="L19" s="4">
        <f>L16+L17-L18</f>
        <v/>
      </c>
      <c r="M19" s="4">
        <f>M16+M17-M18</f>
        <v/>
      </c>
      <c r="N19" s="4">
        <f>N16+N17-N18</f>
        <v/>
      </c>
      <c r="O19" s="4">
        <f>O16+O17-O18</f>
        <v/>
      </c>
      <c r="P19" s="4">
        <f>P16+P17-P18</f>
        <v/>
      </c>
      <c r="Q19" s="4">
        <f>Q16+Q17-Q18</f>
        <v/>
      </c>
      <c r="R19" s="4">
        <f>R16+R17-R18</f>
        <v/>
      </c>
      <c r="S19" s="4">
        <f>S16+S17-S18</f>
        <v/>
      </c>
      <c r="T19" s="4">
        <f>T16+T17-T18</f>
        <v/>
      </c>
      <c r="U19" s="4">
        <f>U16+U17-U18</f>
        <v/>
      </c>
      <c r="V19" s="4">
        <f>V16+V17-V18</f>
        <v/>
      </c>
      <c r="W19" s="4">
        <f>W16+W17-W18</f>
        <v/>
      </c>
      <c r="X19" s="4">
        <f>X16+X17-X18</f>
        <v/>
      </c>
      <c r="Y19" s="4">
        <f>Y16+Y17-Y18</f>
        <v/>
      </c>
      <c r="Z19" s="4">
        <f>Z16+Z17-Z18</f>
        <v/>
      </c>
      <c r="AA19" s="4">
        <f>AA16+AA17-AA18</f>
        <v/>
      </c>
      <c r="AB19" s="4">
        <f>AB16+AB17-AB18</f>
        <v/>
      </c>
      <c r="AC19" s="4">
        <f>AC16+AC17-AC18</f>
        <v/>
      </c>
      <c r="AD19" s="4">
        <f>AD16+AD17-AD18</f>
        <v/>
      </c>
      <c r="AE19" s="4">
        <f>AE16+AE17-AE18</f>
        <v/>
      </c>
      <c r="AF19" s="4">
        <f>AF16+AF17-AF18</f>
        <v/>
      </c>
      <c r="AG19" s="4">
        <f>AG16+AG17-AG18</f>
        <v/>
      </c>
      <c r="AH19" s="4">
        <f>AH16+AH17-AH18</f>
        <v/>
      </c>
      <c r="AI19" s="4">
        <f>AI16+AI17-AI18</f>
        <v/>
      </c>
      <c r="AJ19" s="4">
        <f>AJ16+AJ17-AJ18</f>
        <v/>
      </c>
      <c r="AK19" s="4">
        <f>AK16+AK17-AK18</f>
        <v/>
      </c>
      <c r="AL19" s="4">
        <f>AL16+AL17-AL18</f>
        <v/>
      </c>
      <c r="AM19" s="4">
        <f>AM16+AM17-AM18</f>
        <v/>
      </c>
      <c r="AN19" s="4">
        <f>AN16+AN17-AN18</f>
        <v/>
      </c>
      <c r="AO19" s="4">
        <f>AO16+AO17-AO18</f>
        <v/>
      </c>
      <c r="AP19" s="4">
        <f>AP16+AP17-AP18</f>
        <v/>
      </c>
      <c r="AQ19" s="4">
        <f>AQ16+AQ17-AQ18</f>
        <v/>
      </c>
      <c r="AR19" s="4">
        <f>AR16+AR17-AR18</f>
        <v/>
      </c>
      <c r="AS19" s="4">
        <f>AS16+AS17-AS18</f>
        <v/>
      </c>
      <c r="AT19" s="4">
        <f>AT16+AT17-AT18</f>
        <v/>
      </c>
      <c r="AU19" s="4">
        <f>AU16+AU17-AU18</f>
        <v/>
      </c>
    </row>
    <row r="20">
      <c r="A20" s="5" t="inlineStr">
        <is>
          <t>Max allowable Revenue CAPEX</t>
        </is>
      </c>
      <c r="B20" s="4">
        <f>(B16+B17)*$B8+B18</f>
        <v/>
      </c>
      <c r="C20" s="4">
        <f>(C16+C17)*$B8+C18</f>
        <v/>
      </c>
      <c r="D20" s="4">
        <f>(D16+D17)*$B8+D18</f>
        <v/>
      </c>
      <c r="E20" s="4">
        <f>(E16+E17)*$B8+E18</f>
        <v/>
      </c>
      <c r="F20" s="4">
        <f>(F16+F17)*$B8+F18</f>
        <v/>
      </c>
      <c r="G20" s="4">
        <f>(G16+G17)*$B8+G18</f>
        <v/>
      </c>
      <c r="H20" s="4">
        <f>(H16+H17)*$B8+H18</f>
        <v/>
      </c>
      <c r="I20" s="4">
        <f>(I16+I17)*$B8+I18</f>
        <v/>
      </c>
      <c r="J20" s="4">
        <f>(J16+J17)*$B8+J18</f>
        <v/>
      </c>
      <c r="K20" s="4">
        <f>(K16+K17)*$B8+K18</f>
        <v/>
      </c>
      <c r="L20" s="4">
        <f>(L16+L17)*$B8+L18</f>
        <v/>
      </c>
      <c r="M20" s="4">
        <f>(M16+M17)*$B8+M18</f>
        <v/>
      </c>
      <c r="N20" s="4">
        <f>(N16+N17)*$B8+N18</f>
        <v/>
      </c>
      <c r="O20" s="4">
        <f>(O16+O17)*$B8+O18</f>
        <v/>
      </c>
      <c r="P20" s="4">
        <f>(P16+P17)*$B8+P18</f>
        <v/>
      </c>
      <c r="Q20" s="4">
        <f>(Q16+Q17)*$B8+Q18</f>
        <v/>
      </c>
      <c r="R20" s="4">
        <f>(R16+R17)*$B8+R18</f>
        <v/>
      </c>
      <c r="S20" s="4">
        <f>(S16+S17)*$B8+S18</f>
        <v/>
      </c>
      <c r="T20" s="4">
        <f>(T16+T17)*$B8+T18</f>
        <v/>
      </c>
      <c r="U20" s="4">
        <f>(U16+U17)*$B8+U18</f>
        <v/>
      </c>
      <c r="V20" s="4">
        <f>(V16+V17)*$B8+V18</f>
        <v/>
      </c>
      <c r="W20" s="4">
        <f>(W16+W17)*$B8+W18</f>
        <v/>
      </c>
      <c r="X20" s="4">
        <f>(X16+X17)*$B8+X18</f>
        <v/>
      </c>
      <c r="Y20" s="4">
        <f>(Y16+Y17)*$B8+Y18</f>
        <v/>
      </c>
      <c r="Z20" s="4">
        <f>(Z16+Z17)*$B8+Z18</f>
        <v/>
      </c>
      <c r="AA20" s="4">
        <f>(AA16+AA17)*$B8+AA18</f>
        <v/>
      </c>
      <c r="AB20" s="4">
        <f>(AB16+AB17)*$B8+AB18</f>
        <v/>
      </c>
      <c r="AC20" s="4">
        <f>(AC16+AC17)*$B8+AC18</f>
        <v/>
      </c>
      <c r="AD20" s="4">
        <f>(AD16+AD17)*$B8+AD18</f>
        <v/>
      </c>
      <c r="AE20" s="4">
        <f>(AE16+AE17)*$B8+AE18</f>
        <v/>
      </c>
      <c r="AF20" s="4">
        <f>(AF16+AF17)*$B8+AF18</f>
        <v/>
      </c>
      <c r="AG20" s="4">
        <f>(AG16+AG17)*$B8+AG18</f>
        <v/>
      </c>
      <c r="AH20" s="4">
        <f>(AH16+AH17)*$B8+AH18</f>
        <v/>
      </c>
      <c r="AI20" s="4">
        <f>(AI16+AI17)*$B8+AI18</f>
        <v/>
      </c>
      <c r="AJ20" s="4">
        <f>(AJ16+AJ17)*$B8+AJ18</f>
        <v/>
      </c>
      <c r="AK20" s="4">
        <f>(AK16+AK17)*$B8+AK18</f>
        <v/>
      </c>
      <c r="AL20" s="4">
        <f>(AL16+AL17)*$B8+AL18</f>
        <v/>
      </c>
      <c r="AM20" s="4">
        <f>(AM16+AM17)*$B8+AM18</f>
        <v/>
      </c>
      <c r="AN20" s="4">
        <f>(AN16+AN17)*$B8+AN18</f>
        <v/>
      </c>
      <c r="AO20" s="4">
        <f>(AO16+AO17)*$B8+AO18</f>
        <v/>
      </c>
      <c r="AP20" s="4">
        <f>(AP16+AP17)*$B8+AP18</f>
        <v/>
      </c>
      <c r="AQ20" s="4">
        <f>(AQ16+AQ17)*$B8+AQ18</f>
        <v/>
      </c>
      <c r="AR20" s="4">
        <f>(AR16+AR17)*$B8+AR18</f>
        <v/>
      </c>
      <c r="AS20" s="4">
        <f>(AS16+AS17)*$B8+AS18</f>
        <v/>
      </c>
      <c r="AT20" s="4">
        <f>(AT16+AT17)*$B8+AT18</f>
        <v/>
      </c>
      <c r="AU20" s="4">
        <f>(AU16+AU17)*$B8+AU18</f>
        <v/>
      </c>
    </row>
    <row r="21">
      <c r="A21" s="5" t="inlineStr">
        <is>
          <t>OPEX</t>
        </is>
      </c>
      <c r="B21" s="11">
        <f>B20*(1/B11-1)</f>
        <v/>
      </c>
      <c r="C21" s="4">
        <f>$B21*(1+$B$12)^(C15-$B15)</f>
        <v/>
      </c>
      <c r="D21" s="4">
        <f>$B21*(1+$B$12)^(D15-$B15)</f>
        <v/>
      </c>
      <c r="E21" s="4">
        <f>$B21*(1+$B$12)^(E15-$B15)</f>
        <v/>
      </c>
      <c r="F21" s="4">
        <f>$B21*(1+$B$12)^(F15-$B15)</f>
        <v/>
      </c>
      <c r="G21" s="4">
        <f>$B21*(1+$B$12)^(G15-$B15)</f>
        <v/>
      </c>
      <c r="H21" s="4">
        <f>$B21*(1+$B$12)^(H15-$B15)</f>
        <v/>
      </c>
      <c r="I21" s="4">
        <f>$B21*(1+$B$12)^(I15-$B15)</f>
        <v/>
      </c>
      <c r="J21" s="4">
        <f>$B21*(1+$B$12)^(J15-$B15)</f>
        <v/>
      </c>
      <c r="K21" s="4">
        <f>$B21*(1+$B$12)^(K15-$B15)</f>
        <v/>
      </c>
      <c r="L21" s="4">
        <f>$B21*(1+$B$12)^(L15-$B15)</f>
        <v/>
      </c>
      <c r="M21" s="4">
        <f>$B21*(1+$B$12)^(M15-$B15)</f>
        <v/>
      </c>
      <c r="N21" s="4">
        <f>$B21*(1+$B$12)^(N15-$B15)</f>
        <v/>
      </c>
      <c r="O21" s="4">
        <f>$B21*(1+$B$12)^(O15-$B15)</f>
        <v/>
      </c>
      <c r="P21" s="4">
        <f>$B21*(1+$B$12)^(P15-$B15)</f>
        <v/>
      </c>
      <c r="Q21" s="4">
        <f>$B21*(1+$B$12)^(Q15-$B15)</f>
        <v/>
      </c>
      <c r="R21" s="4">
        <f>$B21*(1+$B$12)^(R15-$B15)</f>
        <v/>
      </c>
      <c r="S21" s="4">
        <f>$B21*(1+$B$12)^(S15-$B15)</f>
        <v/>
      </c>
      <c r="T21" s="4">
        <f>$B21*(1+$B$12)^(T15-$B15)</f>
        <v/>
      </c>
      <c r="U21" s="4">
        <f>$B21*(1+$B$12)^(U15-$B15)</f>
        <v/>
      </c>
      <c r="V21" s="4">
        <f>$B21*(1+$B$12)^(V15-$B15)</f>
        <v/>
      </c>
      <c r="W21" s="4">
        <f>$B21*(1+$B$12)^(W15-$B15)</f>
        <v/>
      </c>
      <c r="X21" s="4">
        <f>$B21*(1+$B$12)^(X15-$B15)</f>
        <v/>
      </c>
      <c r="Y21" s="4">
        <f>$B21*(1+$B$12)^(Y15-$B15)</f>
        <v/>
      </c>
      <c r="Z21" s="4">
        <f>$B21*(1+$B$12)^(Z15-$B15)</f>
        <v/>
      </c>
      <c r="AA21" s="4">
        <f>$B21*(1+$B$12)^(AA15-$B15)</f>
        <v/>
      </c>
      <c r="AB21" s="4">
        <f>$B21*(1+$B$12)^(AB15-$B15)</f>
        <v/>
      </c>
      <c r="AC21" s="4">
        <f>$B21*(1+$B$12)^(AC15-$B15)</f>
        <v/>
      </c>
      <c r="AD21" s="4">
        <f>$B21*(1+$B$12)^(AD15-$B15)</f>
        <v/>
      </c>
      <c r="AE21" s="4">
        <f>$B21*(1+$B$12)^(AE15-$B15)</f>
        <v/>
      </c>
      <c r="AF21" s="4">
        <f>$B21*(1+$B$12)^(AF15-$B15)</f>
        <v/>
      </c>
      <c r="AG21" s="4">
        <f>$B21*(1+$B$12)^(AG15-$B15)</f>
        <v/>
      </c>
      <c r="AH21" s="4">
        <f>$B21*(1+$B$12)^(AH15-$B15)</f>
        <v/>
      </c>
      <c r="AI21" s="4">
        <f>$B21*(1+$B$12)^(AI15-$B15)</f>
        <v/>
      </c>
      <c r="AJ21" s="4">
        <f>$B21*(1+$B$12)^(AJ15-$B15)</f>
        <v/>
      </c>
      <c r="AK21" s="4">
        <f>$B21*(1+$B$12)^(AK15-$B15)</f>
        <v/>
      </c>
      <c r="AL21" s="4">
        <f>$B21*(1+$B$12)^(AL15-$B15)</f>
        <v/>
      </c>
      <c r="AM21" s="4">
        <f>$B21*(1+$B$12)^(AM15-$B15)</f>
        <v/>
      </c>
      <c r="AN21" s="4">
        <f>$B21*(1+$B$12)^(AN15-$B15)</f>
        <v/>
      </c>
      <c r="AO21" s="4">
        <f>$B21*(1+$B$12)^(AO15-$B15)</f>
        <v/>
      </c>
      <c r="AP21" s="4">
        <f>$B21*(1+$B$12)^(AP15-$B15)</f>
        <v/>
      </c>
      <c r="AQ21" s="4">
        <f>$B21*(1+$B$12)^(AQ15-$B15)</f>
        <v/>
      </c>
      <c r="AR21" s="4">
        <f>$B21*(1+$B$12)^(AR15-$B15)</f>
        <v/>
      </c>
      <c r="AS21" s="4">
        <f>$B21*(1+$B$12)^(AS15-$B15)</f>
        <v/>
      </c>
      <c r="AT21" s="4">
        <f>$B21*(1+$B$12)^(AT15-$B15)</f>
        <v/>
      </c>
      <c r="AU21" s="4">
        <f>$B21*(1+$B$12)^(AU15-$B15)</f>
        <v/>
      </c>
    </row>
    <row r="22">
      <c r="A22" s="5" t="inlineStr">
        <is>
          <t>Max allowable Revenue</t>
        </is>
      </c>
      <c r="B22" s="4">
        <f>B20+B21</f>
        <v/>
      </c>
      <c r="C22" s="4">
        <f>C20+C21</f>
        <v/>
      </c>
      <c r="D22" s="4">
        <f>D20+D21</f>
        <v/>
      </c>
      <c r="E22" s="4">
        <f>E20+E21</f>
        <v/>
      </c>
      <c r="F22" s="4">
        <f>F20+F21</f>
        <v/>
      </c>
      <c r="G22" s="4">
        <f>G20+G21</f>
        <v/>
      </c>
      <c r="H22" s="4">
        <f>H20+H21</f>
        <v/>
      </c>
      <c r="I22" s="4">
        <f>I20+I21</f>
        <v/>
      </c>
      <c r="J22" s="4">
        <f>J20+J21</f>
        <v/>
      </c>
      <c r="K22" s="4">
        <f>K20+K21</f>
        <v/>
      </c>
      <c r="L22" s="4">
        <f>L20+L21</f>
        <v/>
      </c>
      <c r="M22" s="4">
        <f>M20+M21</f>
        <v/>
      </c>
      <c r="N22" s="4">
        <f>N20+N21</f>
        <v/>
      </c>
      <c r="O22" s="4">
        <f>O20+O21</f>
        <v/>
      </c>
      <c r="P22" s="4">
        <f>P20+P21</f>
        <v/>
      </c>
      <c r="Q22" s="4">
        <f>Q20+Q21</f>
        <v/>
      </c>
      <c r="R22" s="4">
        <f>R20+R21</f>
        <v/>
      </c>
      <c r="S22" s="4">
        <f>S20+S21</f>
        <v/>
      </c>
      <c r="T22" s="4">
        <f>T20+T21</f>
        <v/>
      </c>
      <c r="U22" s="4">
        <f>U20+U21</f>
        <v/>
      </c>
      <c r="V22" s="4">
        <f>V20+V21</f>
        <v/>
      </c>
      <c r="W22" s="4">
        <f>W20+W21</f>
        <v/>
      </c>
      <c r="X22" s="4">
        <f>X20+X21</f>
        <v/>
      </c>
      <c r="Y22" s="4">
        <f>Y20+Y21</f>
        <v/>
      </c>
      <c r="Z22" s="4">
        <f>Z20+Z21</f>
        <v/>
      </c>
      <c r="AA22" s="4">
        <f>AA20+AA21</f>
        <v/>
      </c>
      <c r="AB22" s="4">
        <f>AB20+AB21</f>
        <v/>
      </c>
      <c r="AC22" s="4">
        <f>AC20+AC21</f>
        <v/>
      </c>
      <c r="AD22" s="4">
        <f>AD20+AD21</f>
        <v/>
      </c>
      <c r="AE22" s="4">
        <f>AE20+AE21</f>
        <v/>
      </c>
      <c r="AF22" s="4">
        <f>AF20+AF21</f>
        <v/>
      </c>
      <c r="AG22" s="4">
        <f>AG20+AG21</f>
        <v/>
      </c>
      <c r="AH22" s="4">
        <f>AH20+AH21</f>
        <v/>
      </c>
      <c r="AI22" s="4">
        <f>AI20+AI21</f>
        <v/>
      </c>
      <c r="AJ22" s="4">
        <f>AJ20+AJ21</f>
        <v/>
      </c>
      <c r="AK22" s="4">
        <f>AK20+AK21</f>
        <v/>
      </c>
      <c r="AL22" s="4">
        <f>AL20+AL21</f>
        <v/>
      </c>
      <c r="AM22" s="4">
        <f>AM20+AM21</f>
        <v/>
      </c>
      <c r="AN22" s="4">
        <f>AN20+AN21</f>
        <v/>
      </c>
      <c r="AO22" s="4">
        <f>AO20+AO21</f>
        <v/>
      </c>
      <c r="AP22" s="4">
        <f>AP20+AP21</f>
        <v/>
      </c>
      <c r="AQ22" s="4">
        <f>AQ20+AQ21</f>
        <v/>
      </c>
      <c r="AR22" s="4">
        <f>AR20+AR21</f>
        <v/>
      </c>
      <c r="AS22" s="4">
        <f>AS20+AS21</f>
        <v/>
      </c>
      <c r="AT22" s="4">
        <f>AT20+AT21</f>
        <v/>
      </c>
      <c r="AU22" s="4">
        <f>AU20+AU21</f>
        <v/>
      </c>
    </row>
    <row r="23">
      <c r="A23" s="8" t="inlineStr">
        <is>
          <t>Ratio tariff impact (normalised to 2020)</t>
        </is>
      </c>
      <c r="B23" s="9">
        <f>B22/$B22</f>
        <v/>
      </c>
      <c r="C23" s="9">
        <f>C22/$B22</f>
        <v/>
      </c>
      <c r="D23" s="9">
        <f>D22/$B22</f>
        <v/>
      </c>
      <c r="E23" s="9">
        <f>E22/$B22</f>
        <v/>
      </c>
      <c r="F23" s="9">
        <f>F22/$B22</f>
        <v/>
      </c>
      <c r="G23" s="9">
        <f>G22/$B22</f>
        <v/>
      </c>
      <c r="H23" s="9">
        <f>H22/$B22</f>
        <v/>
      </c>
      <c r="I23" s="9">
        <f>I22/$B22</f>
        <v/>
      </c>
      <c r="J23" s="9">
        <f>J22/$B22</f>
        <v/>
      </c>
      <c r="K23" s="9">
        <f>K22/$B22</f>
        <v/>
      </c>
      <c r="L23" s="9">
        <f>L22/$B22</f>
        <v/>
      </c>
      <c r="M23" s="9">
        <f>M22/$B22</f>
        <v/>
      </c>
      <c r="N23" s="9">
        <f>N22/$B22</f>
        <v/>
      </c>
      <c r="O23" s="9">
        <f>O22/$B22</f>
        <v/>
      </c>
      <c r="P23" s="9">
        <f>P22/$B22</f>
        <v/>
      </c>
      <c r="Q23" s="9">
        <f>Q22/$B22</f>
        <v/>
      </c>
      <c r="R23" s="9">
        <f>R22/$B22</f>
        <v/>
      </c>
      <c r="S23" s="9">
        <f>S22/$B22</f>
        <v/>
      </c>
      <c r="T23" s="9">
        <f>T22/$B22</f>
        <v/>
      </c>
      <c r="U23" s="9">
        <f>U22/$B22</f>
        <v/>
      </c>
      <c r="V23" s="9">
        <f>V22/$B22</f>
        <v/>
      </c>
      <c r="W23" s="9">
        <f>W22/$B22</f>
        <v/>
      </c>
      <c r="X23" s="9">
        <f>X22/$B22</f>
        <v/>
      </c>
      <c r="Y23" s="9">
        <f>Y22/$B22</f>
        <v/>
      </c>
      <c r="Z23" s="9">
        <f>Z22/$B22</f>
        <v/>
      </c>
      <c r="AA23" s="9">
        <f>AA22/$B22</f>
        <v/>
      </c>
      <c r="AB23" s="9">
        <f>AB22/$B22</f>
        <v/>
      </c>
      <c r="AC23" s="9">
        <f>AC22/$B22</f>
        <v/>
      </c>
      <c r="AD23" s="9">
        <f>AD22/$B22</f>
        <v/>
      </c>
      <c r="AE23" s="9">
        <f>AE22/$B22</f>
        <v/>
      </c>
      <c r="AF23" s="9">
        <f>AF22/$B22</f>
        <v/>
      </c>
      <c r="AG23" s="9">
        <f>AG22/$B22</f>
        <v/>
      </c>
      <c r="AH23" s="9">
        <f>AH22/$B22</f>
        <v/>
      </c>
      <c r="AI23" s="9">
        <f>AI22/$B22</f>
        <v/>
      </c>
      <c r="AJ23" s="9">
        <f>AJ22/$B22</f>
        <v/>
      </c>
      <c r="AK23" s="9">
        <f>AK22/$B22</f>
        <v/>
      </c>
      <c r="AL23" s="9">
        <f>AL22/$B22</f>
        <v/>
      </c>
      <c r="AM23" s="9">
        <f>AM22/$B22</f>
        <v/>
      </c>
      <c r="AN23" s="9">
        <f>AN22/$B22</f>
        <v/>
      </c>
      <c r="AO23" s="9">
        <f>AO22/$B22</f>
        <v/>
      </c>
      <c r="AP23" s="9">
        <f>AP22/$B22</f>
        <v/>
      </c>
      <c r="AQ23" s="9">
        <f>AQ22/$B22</f>
        <v/>
      </c>
      <c r="AR23" s="9">
        <f>AR22/$B22</f>
        <v/>
      </c>
      <c r="AS23" s="9">
        <f>AS22/$B22</f>
        <v/>
      </c>
      <c r="AT23" s="9">
        <f>AT22/$B22</f>
        <v/>
      </c>
      <c r="AU23" s="9">
        <f>AU22/$B22</f>
        <v/>
      </c>
    </row>
    <row r="24">
      <c r="B24" s="12">
        <f>B20/B22</f>
        <v/>
      </c>
      <c r="C24" s="12">
        <f>C20/C22</f>
        <v/>
      </c>
      <c r="D24" s="12">
        <f>D20/D22</f>
        <v/>
      </c>
      <c r="E24" s="12">
        <f>E20/E22</f>
        <v/>
      </c>
      <c r="F24" s="12">
        <f>F20/F22</f>
        <v/>
      </c>
      <c r="G24" s="12">
        <f>G20/G22</f>
        <v/>
      </c>
      <c r="H24" s="12">
        <f>H20/H22</f>
        <v/>
      </c>
      <c r="I24" s="12">
        <f>I20/I22</f>
        <v/>
      </c>
      <c r="J24" s="12">
        <f>J20/J22</f>
        <v/>
      </c>
      <c r="K24" s="12">
        <f>K20/K22</f>
        <v/>
      </c>
      <c r="L24" s="12">
        <f>L20/L22</f>
        <v/>
      </c>
      <c r="M24" s="12">
        <f>M20/M22</f>
        <v/>
      </c>
      <c r="N24" s="12">
        <f>N20/N22</f>
        <v/>
      </c>
      <c r="O24" s="12">
        <f>O20/O22</f>
        <v/>
      </c>
      <c r="P24" s="12">
        <f>P20/P22</f>
        <v/>
      </c>
      <c r="Q24" s="12">
        <f>Q20/Q22</f>
        <v/>
      </c>
      <c r="R24" s="12">
        <f>R20/R22</f>
        <v/>
      </c>
      <c r="S24" s="12">
        <f>S20/S22</f>
        <v/>
      </c>
      <c r="T24" s="12">
        <f>T20/T22</f>
        <v/>
      </c>
      <c r="U24" s="12">
        <f>U20/U22</f>
        <v/>
      </c>
      <c r="V24" s="12">
        <f>V20/V22</f>
        <v/>
      </c>
      <c r="W24" s="12">
        <f>W20/W22</f>
        <v/>
      </c>
      <c r="X24" s="12">
        <f>X20/X22</f>
        <v/>
      </c>
      <c r="Y24" s="12">
        <f>Y20/Y22</f>
        <v/>
      </c>
      <c r="Z24" s="12">
        <f>Z20/Z22</f>
        <v/>
      </c>
      <c r="AA24" s="12">
        <f>AA20/AA22</f>
        <v/>
      </c>
      <c r="AB24" s="12">
        <f>AB20/AB22</f>
        <v/>
      </c>
      <c r="AC24" s="12">
        <f>AC20/AC22</f>
        <v/>
      </c>
      <c r="AD24" s="12">
        <f>AD20/AD22</f>
        <v/>
      </c>
      <c r="AE24" s="12">
        <f>AE20/AE22</f>
        <v/>
      </c>
      <c r="AF24" s="12">
        <f>AF20/AF22</f>
        <v/>
      </c>
      <c r="AG24" s="12">
        <f>AG20/AG22</f>
        <v/>
      </c>
      <c r="AH24" s="12">
        <f>AH20/AH22</f>
        <v/>
      </c>
      <c r="AI24" s="12">
        <f>AI20/AI22</f>
        <v/>
      </c>
      <c r="AJ24" s="12">
        <f>AJ20/AJ22</f>
        <v/>
      </c>
      <c r="AK24" s="12">
        <f>AK20/AK22</f>
        <v/>
      </c>
      <c r="AL24" s="12">
        <f>AL20/AL22</f>
        <v/>
      </c>
      <c r="AM24" s="12">
        <f>AM20/AM22</f>
        <v/>
      </c>
      <c r="AN24" s="12">
        <f>AN20/AN22</f>
        <v/>
      </c>
      <c r="AO24" s="12">
        <f>AO20/AO22</f>
        <v/>
      </c>
      <c r="AP24" s="12">
        <f>AP20/AP22</f>
        <v/>
      </c>
      <c r="AQ24" s="12">
        <f>AQ20/AQ22</f>
        <v/>
      </c>
      <c r="AR24" s="12">
        <f>AR20/AR22</f>
        <v/>
      </c>
      <c r="AS24" s="12">
        <f>AS20/AS22</f>
        <v/>
      </c>
      <c r="AT24" s="12">
        <f>AT20/AT22</f>
        <v/>
      </c>
      <c r="AU24" s="12">
        <f>AU20/AU22</f>
        <v/>
      </c>
    </row>
    <row r="27">
      <c r="A27" s="16" t="inlineStr">
        <is>
          <t>Price impact calculation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B28" s="12" t="n"/>
      <c r="C28" s="12" t="n"/>
      <c r="D28" s="12" t="n"/>
      <c r="E28" s="1" t="n"/>
      <c r="F28" s="1" t="n">
        <v>2020</v>
      </c>
      <c r="G28" s="1" t="n">
        <v>2030</v>
      </c>
      <c r="H28" s="1" t="n">
        <v>2040</v>
      </c>
      <c r="I28" s="1" t="n">
        <v>2050</v>
      </c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</row>
    <row r="29">
      <c r="A29" s="1" t="inlineStr">
        <is>
          <t>today's distribution tariff</t>
        </is>
      </c>
      <c r="B29" s="11" t="n">
        <v>53</v>
      </c>
      <c r="C29" s="12" t="inlineStr">
        <is>
          <t>EUR/MWh</t>
        </is>
      </c>
      <c r="D29" s="12" t="n"/>
      <c r="E29" s="12" t="inlineStr">
        <is>
          <t>TWh</t>
        </is>
      </c>
      <c r="F29" s="11" t="n">
        <v>2589.565211</v>
      </c>
      <c r="G29" s="11" t="n">
        <v>2541.897097166679</v>
      </c>
      <c r="H29" s="11" t="n">
        <v>3536.58113301761</v>
      </c>
      <c r="I29" s="11" t="n">
        <v>4629.943959174688</v>
      </c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</row>
    <row r="30">
      <c r="A30" s="1" t="inlineStr">
        <is>
          <t>2020 elec consumption</t>
        </is>
      </c>
      <c r="B30" s="2" t="n">
        <v>2590</v>
      </c>
      <c r="C30" t="inlineStr">
        <is>
          <t>TWh</t>
        </is>
      </c>
      <c r="E30" t="inlineStr">
        <is>
          <t>TWh DSO</t>
        </is>
      </c>
      <c r="F30" s="11">
        <f>F29*$B$31</f>
        <v/>
      </c>
      <c r="G30" s="11" t="n">
        <v>2541.897097166679</v>
      </c>
      <c r="H30" s="11" t="n">
        <v>3536.58113301761</v>
      </c>
      <c r="I30" s="11">
        <f>I29*$B$31</f>
        <v/>
      </c>
    </row>
    <row r="31">
      <c r="A31" s="1" t="inlineStr">
        <is>
          <t>Assumption DSO share consumption</t>
        </is>
      </c>
      <c r="B31" s="2" t="n">
        <v>0.8</v>
      </c>
      <c r="E31" t="inlineStr">
        <is>
          <t>Ratio Consumption</t>
        </is>
      </c>
      <c r="F31" s="21">
        <f>F30/$F30</f>
        <v/>
      </c>
      <c r="G31" s="21">
        <f>G30/$F30</f>
        <v/>
      </c>
      <c r="H31" s="21">
        <f>H30/$F30</f>
        <v/>
      </c>
      <c r="I31" s="21">
        <f>I30/$F30</f>
        <v/>
      </c>
    </row>
    <row r="32">
      <c r="A32" s="1" t="inlineStr">
        <is>
          <t>Estimated DSO revenue</t>
        </is>
      </c>
      <c r="B32" s="14">
        <f>B30*B31*10^6*B29*10^-9</f>
        <v/>
      </c>
      <c r="C32" t="inlineStr">
        <is>
          <t>billion EUR</t>
        </is>
      </c>
      <c r="E32" s="12" t="inlineStr">
        <is>
          <t>Ratio revenue</t>
        </is>
      </c>
      <c r="F32" s="13">
        <f>B23</f>
        <v/>
      </c>
      <c r="G32" s="13">
        <f>L23</f>
        <v/>
      </c>
      <c r="H32" s="13">
        <f>V23</f>
        <v/>
      </c>
      <c r="I32" s="13">
        <f>AF23</f>
        <v/>
      </c>
    </row>
    <row r="33">
      <c r="A33" s="19" t="inlineStr">
        <is>
          <t>Check error against Max Allowable Revenue from revenue model</t>
        </is>
      </c>
      <c r="B33" s="20">
        <f>(B32-B22)/B32</f>
        <v/>
      </c>
      <c r="E33" t="inlineStr">
        <is>
          <t>revenue</t>
        </is>
      </c>
      <c r="F33" s="14">
        <f>B32</f>
        <v/>
      </c>
      <c r="G33" s="14">
        <f>$F33*G32</f>
        <v/>
      </c>
      <c r="H33" s="14">
        <f>$F33*H32</f>
        <v/>
      </c>
      <c r="I33" s="14">
        <f>$F33*I32</f>
        <v/>
      </c>
    </row>
    <row r="34">
      <c r="E34" t="inlineStr">
        <is>
          <t>distribution charges (EUR/MWh)</t>
        </is>
      </c>
      <c r="F34" s="14">
        <f>F33*1000/F30</f>
        <v/>
      </c>
      <c r="G34" s="14">
        <f>G33*1000/G30</f>
        <v/>
      </c>
      <c r="H34" s="14">
        <f>H33*1000/H30</f>
        <v/>
      </c>
      <c r="I34" s="14">
        <f>I33*1000/I30</f>
        <v/>
      </c>
    </row>
    <row r="35">
      <c r="E35" t="inlineStr">
        <is>
          <t>Direct DSO tariff MAR/TWh (EUR/MWh)</t>
        </is>
      </c>
      <c r="F35">
        <f>B22*1000/F30</f>
        <v/>
      </c>
      <c r="G35">
        <f>L22*1000/G30</f>
        <v/>
      </c>
      <c r="H35">
        <f>V22*1000/H30</f>
        <v/>
      </c>
    </row>
    <row r="36">
      <c r="A36" t="inlineStr">
        <is>
          <t>Verbal Input on share of distribution consumption in national total</t>
        </is>
      </c>
      <c r="B36" t="inlineStr">
        <is>
          <t>France</t>
        </is>
      </c>
      <c r="C36" t="inlineStr">
        <is>
          <t>Italy</t>
        </is>
      </c>
      <c r="F36" s="1" t="n">
        <v>2018</v>
      </c>
      <c r="G36" s="1" t="n">
        <v>2030</v>
      </c>
      <c r="H36" s="1" t="n">
        <v>2040</v>
      </c>
      <c r="I36" s="1" t="n">
        <v>2050</v>
      </c>
    </row>
    <row r="37">
      <c r="A37" t="inlineStr">
        <is>
          <t xml:space="preserve">Share of electricity </t>
        </is>
      </c>
      <c r="B37" t="n">
        <v>80</v>
      </c>
      <c r="C37" t="n">
        <v>80</v>
      </c>
    </row>
    <row r="39">
      <c r="A39" t="inlineStr">
        <is>
          <t>Eurostat - T&amp;D tariff</t>
        </is>
      </c>
      <c r="B39" t="n">
        <v>66</v>
      </c>
      <c r="C39" t="n">
        <v>2022</v>
      </c>
      <c r="I39">
        <f>32*3.3</f>
        <v/>
      </c>
    </row>
    <row r="40">
      <c r="I40">
        <f>129+105</f>
        <v/>
      </c>
    </row>
    <row r="41">
      <c r="B41" s="18" t="n"/>
      <c r="I41">
        <f>I40/3.7</f>
        <v/>
      </c>
    </row>
    <row r="45">
      <c r="F45" t="n">
        <v>1.82</v>
      </c>
    </row>
    <row r="46">
      <c r="F46">
        <f>4630/2590</f>
        <v/>
      </c>
    </row>
    <row r="47">
      <c r="F47">
        <f>1.82/1.7876</f>
        <v/>
      </c>
    </row>
    <row r="48">
      <c r="F48">
        <f>54/53</f>
        <v/>
      </c>
    </row>
    <row r="50">
      <c r="A50" t="inlineStr">
        <is>
          <t>PyPSA scenario 75%: 2026-2030 CAPEX = 2030 overnight/5; 2031-2040 CAPEX = 2040 incremental overnight/10 (EUR2015). G30/H30 are DSO HV→LV TWh (no 80% factor). 2020-2025 and 2041+ CAPEX unchanged.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4.5"/>
  <cols>
    <col width="39.1796875" customWidth="1" min="1" max="1"/>
    <col width="11.81640625" bestFit="1" customWidth="1" min="2" max="2"/>
  </cols>
  <sheetData>
    <row r="1">
      <c r="B1" s="2" t="inlineStr">
        <is>
          <t>INPUT</t>
        </is>
      </c>
    </row>
    <row r="2">
      <c r="B2" s="3" t="inlineStr">
        <is>
          <t>CALC</t>
        </is>
      </c>
    </row>
    <row r="4">
      <c r="A4" s="16" t="inlineStr">
        <is>
          <t>Simplified model of DSO allowable revenue for Europe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6">
      <c r="A6" t="inlineStr">
        <is>
          <t>Max allowable revenue</t>
        </is>
      </c>
      <c r="B6" t="inlineStr">
        <is>
          <t>(RAB*WACC)+Depreciation+ OPEX</t>
        </is>
      </c>
    </row>
    <row r="8">
      <c r="A8" s="1" t="inlineStr">
        <is>
          <t>WACC</t>
        </is>
      </c>
      <c r="B8" s="6" t="n">
        <v>0.054</v>
      </c>
    </row>
    <row r="9">
      <c r="A9" s="1" t="inlineStr">
        <is>
          <t>Average Asset Lifetime</t>
        </is>
      </c>
      <c r="B9" s="2" t="n">
        <v>42</v>
      </c>
      <c r="E9" t="inlineStr">
        <is>
          <t>Verbal Input on Share of CAPEX in allowance revenue</t>
        </is>
      </c>
    </row>
    <row r="10">
      <c r="A10" s="1" t="inlineStr">
        <is>
          <t>Depreciation rate</t>
        </is>
      </c>
      <c r="B10" s="7">
        <f>1/B9</f>
        <v/>
      </c>
      <c r="E10" t="inlineStr">
        <is>
          <t>Germany</t>
        </is>
      </c>
      <c r="F10" t="inlineStr">
        <is>
          <t>Italy</t>
        </is>
      </c>
      <c r="G10" t="inlineStr">
        <is>
          <t>Ireland</t>
        </is>
      </c>
      <c r="H10" t="inlineStr">
        <is>
          <t>Portugal</t>
        </is>
      </c>
    </row>
    <row r="11">
      <c r="A11" s="1" t="inlineStr">
        <is>
          <t>Share of CAPEX in allowable revenue</t>
        </is>
      </c>
      <c r="B11" s="10" t="n">
        <v>0.5</v>
      </c>
      <c r="E11" t="n">
        <v>40</v>
      </c>
      <c r="F11" t="n">
        <v>66</v>
      </c>
      <c r="G11" t="n">
        <v>80</v>
      </c>
      <c r="H11" t="n">
        <v>40</v>
      </c>
    </row>
    <row r="12">
      <c r="A12" s="1" t="inlineStr">
        <is>
          <t>OPEX Growth</t>
        </is>
      </c>
      <c r="B12" s="10" t="n">
        <v>0.01</v>
      </c>
    </row>
    <row r="13">
      <c r="A13" s="1" t="inlineStr">
        <is>
          <t>Starting RAB Europe</t>
        </is>
      </c>
      <c r="B13" s="2" t="n">
        <v>700</v>
      </c>
      <c r="C13" t="inlineStr">
        <is>
          <t>B EUR</t>
        </is>
      </c>
    </row>
    <row r="15">
      <c r="A15" s="5" t="inlineStr">
        <is>
          <t>B EUR</t>
        </is>
      </c>
      <c r="B15" s="5" t="n">
        <v>2020</v>
      </c>
      <c r="C15" s="5" t="n">
        <v>2021</v>
      </c>
      <c r="D15" s="5" t="n">
        <v>2022</v>
      </c>
      <c r="E15" s="5" t="n">
        <v>2023</v>
      </c>
      <c r="F15" s="5" t="n">
        <v>2024</v>
      </c>
      <c r="G15" s="5" t="n">
        <v>2025</v>
      </c>
      <c r="H15" s="5" t="n">
        <v>2026</v>
      </c>
      <c r="I15" s="5" t="n">
        <v>2027</v>
      </c>
      <c r="J15" s="5" t="n">
        <v>2028</v>
      </c>
      <c r="K15" s="5" t="n">
        <v>2029</v>
      </c>
      <c r="L15" s="5" t="n">
        <v>2030</v>
      </c>
      <c r="M15" s="5" t="n">
        <v>2031</v>
      </c>
      <c r="N15" s="5" t="n">
        <v>2032</v>
      </c>
      <c r="O15" s="5" t="n">
        <v>2033</v>
      </c>
      <c r="P15" s="5" t="n">
        <v>2034</v>
      </c>
      <c r="Q15" s="5" t="n">
        <v>2035</v>
      </c>
      <c r="R15" s="5" t="n">
        <v>2036</v>
      </c>
      <c r="S15" s="5" t="n">
        <v>2037</v>
      </c>
      <c r="T15" s="5" t="n">
        <v>2038</v>
      </c>
      <c r="U15" s="5" t="n">
        <v>2039</v>
      </c>
      <c r="V15" s="5" t="n">
        <v>2040</v>
      </c>
      <c r="W15" s="5" t="n">
        <v>2041</v>
      </c>
      <c r="X15" s="5" t="n">
        <v>2042</v>
      </c>
      <c r="Y15" s="5" t="n">
        <v>2043</v>
      </c>
      <c r="Z15" s="5" t="n">
        <v>2044</v>
      </c>
      <c r="AA15" s="5" t="n">
        <v>2045</v>
      </c>
      <c r="AB15" s="5" t="n">
        <v>2046</v>
      </c>
      <c r="AC15" s="5" t="n">
        <v>2047</v>
      </c>
      <c r="AD15" s="5" t="n">
        <v>2048</v>
      </c>
      <c r="AE15" s="5" t="n">
        <v>2049</v>
      </c>
      <c r="AF15" s="5" t="n">
        <v>2050</v>
      </c>
      <c r="AG15" s="5" t="n">
        <v>2051</v>
      </c>
      <c r="AH15" s="5" t="n">
        <v>2052</v>
      </c>
      <c r="AI15" s="5" t="n">
        <v>2053</v>
      </c>
      <c r="AJ15" s="5" t="n">
        <v>2054</v>
      </c>
      <c r="AK15" s="5" t="n">
        <v>2055</v>
      </c>
      <c r="AL15" s="5" t="n">
        <v>2056</v>
      </c>
      <c r="AM15" s="5" t="n">
        <v>2057</v>
      </c>
      <c r="AN15" s="5" t="n">
        <v>2058</v>
      </c>
      <c r="AO15" s="5" t="n">
        <v>2059</v>
      </c>
      <c r="AP15" s="5" t="n">
        <v>2060</v>
      </c>
      <c r="AQ15" s="5" t="n">
        <v>2061</v>
      </c>
      <c r="AR15" s="5" t="n">
        <v>2062</v>
      </c>
      <c r="AS15" s="5" t="n">
        <v>2063</v>
      </c>
      <c r="AT15" s="5" t="n">
        <v>2064</v>
      </c>
      <c r="AU15" s="5" t="n">
        <v>2065</v>
      </c>
    </row>
    <row r="16">
      <c r="A16" s="5" t="inlineStr">
        <is>
          <t>Opening RAB</t>
        </is>
      </c>
      <c r="B16" s="3">
        <f>B13</f>
        <v/>
      </c>
      <c r="C16" s="4">
        <f>B19</f>
        <v/>
      </c>
      <c r="D16" s="4">
        <f>C19</f>
        <v/>
      </c>
      <c r="E16" s="4">
        <f>D19</f>
        <v/>
      </c>
      <c r="F16" s="4">
        <f>E19</f>
        <v/>
      </c>
      <c r="G16" s="4">
        <f>F19</f>
        <v/>
      </c>
      <c r="H16" s="4">
        <f>G19</f>
        <v/>
      </c>
      <c r="I16" s="4">
        <f>H19</f>
        <v/>
      </c>
      <c r="J16" s="4">
        <f>I19</f>
        <v/>
      </c>
      <c r="K16" s="4">
        <f>J19</f>
        <v/>
      </c>
      <c r="L16" s="4">
        <f>K19</f>
        <v/>
      </c>
      <c r="M16" s="4">
        <f>L19</f>
        <v/>
      </c>
      <c r="N16" s="4">
        <f>M19</f>
        <v/>
      </c>
      <c r="O16" s="4">
        <f>N19</f>
        <v/>
      </c>
      <c r="P16" s="4">
        <f>O19</f>
        <v/>
      </c>
      <c r="Q16" s="4">
        <f>P19</f>
        <v/>
      </c>
      <c r="R16" s="4">
        <f>Q19</f>
        <v/>
      </c>
      <c r="S16" s="4">
        <f>R19</f>
        <v/>
      </c>
      <c r="T16" s="4">
        <f>S19</f>
        <v/>
      </c>
      <c r="U16" s="4">
        <f>T19</f>
        <v/>
      </c>
      <c r="V16" s="4">
        <f>U19</f>
        <v/>
      </c>
      <c r="W16" s="4">
        <f>V19</f>
        <v/>
      </c>
      <c r="X16" s="4">
        <f>W19</f>
        <v/>
      </c>
      <c r="Y16" s="4">
        <f>X19</f>
        <v/>
      </c>
      <c r="Z16" s="4">
        <f>Y19</f>
        <v/>
      </c>
      <c r="AA16" s="4">
        <f>Z19</f>
        <v/>
      </c>
      <c r="AB16" s="4">
        <f>AA19</f>
        <v/>
      </c>
      <c r="AC16" s="4">
        <f>AB19</f>
        <v/>
      </c>
      <c r="AD16" s="4">
        <f>AC19</f>
        <v/>
      </c>
      <c r="AE16" s="4">
        <f>AD19</f>
        <v/>
      </c>
      <c r="AF16" s="4">
        <f>AE19</f>
        <v/>
      </c>
      <c r="AG16" s="4">
        <f>AF19</f>
        <v/>
      </c>
      <c r="AH16" s="4">
        <f>AG19</f>
        <v/>
      </c>
      <c r="AI16" s="4">
        <f>AH19</f>
        <v/>
      </c>
      <c r="AJ16" s="4">
        <f>AI19</f>
        <v/>
      </c>
      <c r="AK16" s="4">
        <f>AJ19</f>
        <v/>
      </c>
      <c r="AL16" s="4">
        <f>AK19</f>
        <v/>
      </c>
      <c r="AM16" s="4">
        <f>AL19</f>
        <v/>
      </c>
      <c r="AN16" s="4">
        <f>AM19</f>
        <v/>
      </c>
      <c r="AO16" s="4">
        <f>AN19</f>
        <v/>
      </c>
      <c r="AP16" s="4">
        <f>AO19</f>
        <v/>
      </c>
      <c r="AQ16" s="4">
        <f>AP19</f>
        <v/>
      </c>
      <c r="AR16" s="4">
        <f>AQ19</f>
        <v/>
      </c>
      <c r="AS16" s="4">
        <f>AR19</f>
        <v/>
      </c>
      <c r="AT16" s="4">
        <f>AS19</f>
        <v/>
      </c>
      <c r="AU16" s="4">
        <f>AT19</f>
        <v/>
      </c>
    </row>
    <row r="17">
      <c r="A17" s="5" t="inlineStr">
        <is>
          <t>CAPEX addition</t>
        </is>
      </c>
      <c r="B17" s="2" t="n">
        <v>29</v>
      </c>
      <c r="C17" s="2" t="n">
        <v>32</v>
      </c>
      <c r="D17" s="2" t="n">
        <v>35</v>
      </c>
      <c r="E17" s="2" t="n">
        <v>36</v>
      </c>
      <c r="F17" s="2" t="n">
        <v>40</v>
      </c>
      <c r="G17" s="2" t="n">
        <v>60</v>
      </c>
      <c r="H17" s="2" t="n">
        <v>41.96017272922101</v>
      </c>
      <c r="I17" s="2" t="n">
        <v>41.96017272922101</v>
      </c>
      <c r="J17" s="2" t="n">
        <v>41.96017272922101</v>
      </c>
      <c r="K17" s="2" t="n">
        <v>41.96017272922101</v>
      </c>
      <c r="L17" s="2" t="n">
        <v>41.96017272922101</v>
      </c>
      <c r="M17" s="2" t="n">
        <v>9.704324175829418</v>
      </c>
      <c r="N17" s="2" t="n">
        <v>9.704324175829418</v>
      </c>
      <c r="O17" s="2" t="n">
        <v>9.704324175829418</v>
      </c>
      <c r="P17" s="2" t="n">
        <v>9.704324175829418</v>
      </c>
      <c r="Q17" s="2" t="n">
        <v>9.704324175829418</v>
      </c>
      <c r="R17" s="2" t="n">
        <v>9.704324175829418</v>
      </c>
      <c r="S17" s="2" t="n">
        <v>9.704324175829418</v>
      </c>
      <c r="T17" s="2" t="n">
        <v>9.704324175829418</v>
      </c>
      <c r="U17" s="2" t="n">
        <v>9.704324175829418</v>
      </c>
      <c r="V17" s="2" t="n">
        <v>9.704324175829418</v>
      </c>
      <c r="W17" s="2" t="n">
        <v>60</v>
      </c>
      <c r="X17" s="2" t="n">
        <v>60</v>
      </c>
      <c r="Y17" s="2" t="n">
        <v>60</v>
      </c>
      <c r="Z17" s="2" t="n">
        <v>60</v>
      </c>
      <c r="AA17" s="2" t="n">
        <v>60</v>
      </c>
      <c r="AB17" s="2" t="n">
        <v>60</v>
      </c>
      <c r="AC17" s="2" t="n">
        <v>60</v>
      </c>
      <c r="AD17" s="2" t="n">
        <v>60</v>
      </c>
      <c r="AE17" s="2" t="n">
        <v>60</v>
      </c>
      <c r="AF17" s="2" t="n">
        <v>60</v>
      </c>
      <c r="AG17" s="2" t="n">
        <v>60</v>
      </c>
      <c r="AH17" s="2" t="n">
        <v>60</v>
      </c>
      <c r="AI17" s="2" t="n">
        <v>60</v>
      </c>
      <c r="AJ17" s="2" t="n">
        <v>60</v>
      </c>
      <c r="AK17" s="2" t="n">
        <v>60</v>
      </c>
      <c r="AL17" s="2" t="n">
        <v>60</v>
      </c>
      <c r="AM17" s="2" t="n">
        <v>60</v>
      </c>
      <c r="AN17" s="2" t="n">
        <v>60</v>
      </c>
      <c r="AO17" s="2" t="n">
        <v>60</v>
      </c>
      <c r="AP17" s="2" t="n">
        <v>60</v>
      </c>
      <c r="AQ17" s="2" t="n">
        <v>60</v>
      </c>
      <c r="AR17" s="2" t="n">
        <v>60</v>
      </c>
      <c r="AS17" s="2" t="n">
        <v>60</v>
      </c>
      <c r="AT17" s="2" t="n">
        <v>60</v>
      </c>
      <c r="AU17" s="2" t="n">
        <v>60</v>
      </c>
    </row>
    <row r="18">
      <c r="A18" s="5" t="inlineStr">
        <is>
          <t>Depreciation</t>
        </is>
      </c>
      <c r="B18" s="4">
        <f>(B16*$B10)</f>
        <v/>
      </c>
      <c r="C18" s="4">
        <f>(C16*$B10)</f>
        <v/>
      </c>
      <c r="D18" s="4">
        <f>(D16*$B10)</f>
        <v/>
      </c>
      <c r="E18" s="4">
        <f>(E16*$B10)</f>
        <v/>
      </c>
      <c r="F18" s="4">
        <f>(F16*$B10)</f>
        <v/>
      </c>
      <c r="G18" s="4">
        <f>(G16*$B10)</f>
        <v/>
      </c>
      <c r="H18" s="4">
        <f>(H16*$B10)</f>
        <v/>
      </c>
      <c r="I18" s="4">
        <f>(I16*$B10)</f>
        <v/>
      </c>
      <c r="J18" s="4">
        <f>(J16*$B10)</f>
        <v/>
      </c>
      <c r="K18" s="4">
        <f>(K16*$B10)</f>
        <v/>
      </c>
      <c r="L18" s="4">
        <f>(L16*$B10)</f>
        <v/>
      </c>
      <c r="M18" s="15">
        <f>L18</f>
        <v/>
      </c>
      <c r="N18" s="15">
        <f>M18</f>
        <v/>
      </c>
      <c r="O18" s="15">
        <f>N18</f>
        <v/>
      </c>
      <c r="P18" s="15">
        <f>O18</f>
        <v/>
      </c>
      <c r="Q18" s="15">
        <f>P18</f>
        <v/>
      </c>
      <c r="R18" s="15">
        <f>Q18</f>
        <v/>
      </c>
      <c r="S18" s="15">
        <f>R18</f>
        <v/>
      </c>
      <c r="T18" s="15">
        <f>S18</f>
        <v/>
      </c>
      <c r="U18" s="15">
        <f>T18</f>
        <v/>
      </c>
      <c r="V18" s="15">
        <f>U18</f>
        <v/>
      </c>
      <c r="W18" s="15">
        <f>V18</f>
        <v/>
      </c>
      <c r="X18" s="15">
        <f>W18</f>
        <v/>
      </c>
      <c r="Y18" s="15">
        <f>X18</f>
        <v/>
      </c>
      <c r="Z18" s="15">
        <f>Y18</f>
        <v/>
      </c>
      <c r="AA18" s="15">
        <f>Z18</f>
        <v/>
      </c>
      <c r="AB18" s="15">
        <f>AA18</f>
        <v/>
      </c>
      <c r="AC18" s="15">
        <f>AB18</f>
        <v/>
      </c>
      <c r="AD18" s="15">
        <f>AC18</f>
        <v/>
      </c>
      <c r="AE18" s="15">
        <f>AD18</f>
        <v/>
      </c>
      <c r="AF18" s="15">
        <f>AE18</f>
        <v/>
      </c>
      <c r="AG18" s="15">
        <f>AF18</f>
        <v/>
      </c>
      <c r="AH18" s="15">
        <f>AG18</f>
        <v/>
      </c>
      <c r="AI18" s="15">
        <f>AH18</f>
        <v/>
      </c>
      <c r="AJ18" s="15">
        <f>AI18</f>
        <v/>
      </c>
      <c r="AK18" s="15">
        <f>AJ18</f>
        <v/>
      </c>
      <c r="AL18" s="15">
        <f>AK18</f>
        <v/>
      </c>
      <c r="AM18" s="15">
        <f>AL18</f>
        <v/>
      </c>
      <c r="AN18" s="15">
        <f>AM18</f>
        <v/>
      </c>
      <c r="AO18" s="15">
        <f>AN18</f>
        <v/>
      </c>
      <c r="AP18" s="15">
        <f>AO18</f>
        <v/>
      </c>
      <c r="AQ18" s="15">
        <f>AP18</f>
        <v/>
      </c>
      <c r="AR18" s="15">
        <f>AQ18</f>
        <v/>
      </c>
      <c r="AS18" s="15">
        <f>AR18</f>
        <v/>
      </c>
      <c r="AT18" s="15">
        <f>AS18</f>
        <v/>
      </c>
      <c r="AU18" s="15">
        <f>AT18</f>
        <v/>
      </c>
    </row>
    <row r="19">
      <c r="A19" s="5" t="inlineStr">
        <is>
          <t>New RAB</t>
        </is>
      </c>
      <c r="B19" s="4">
        <f>B16+B17-B18</f>
        <v/>
      </c>
      <c r="C19" s="4">
        <f>C16+C17-C18</f>
        <v/>
      </c>
      <c r="D19" s="4">
        <f>D16+D17-D18</f>
        <v/>
      </c>
      <c r="E19" s="4">
        <f>E16+E17-E18</f>
        <v/>
      </c>
      <c r="F19" s="4">
        <f>F16+F17-F18</f>
        <v/>
      </c>
      <c r="G19" s="4">
        <f>G16+G17-G18</f>
        <v/>
      </c>
      <c r="H19" s="4">
        <f>H16+H17-H18</f>
        <v/>
      </c>
      <c r="I19" s="4">
        <f>I16+I17-I18</f>
        <v/>
      </c>
      <c r="J19" s="4">
        <f>J16+J17-J18</f>
        <v/>
      </c>
      <c r="K19" s="4">
        <f>K16+K17-K18</f>
        <v/>
      </c>
      <c r="L19" s="4">
        <f>L16+L17-L18</f>
        <v/>
      </c>
      <c r="M19" s="4">
        <f>M16+M17-M18</f>
        <v/>
      </c>
      <c r="N19" s="4">
        <f>N16+N17-N18</f>
        <v/>
      </c>
      <c r="O19" s="4">
        <f>O16+O17-O18</f>
        <v/>
      </c>
      <c r="P19" s="4">
        <f>P16+P17-P18</f>
        <v/>
      </c>
      <c r="Q19" s="4">
        <f>Q16+Q17-Q18</f>
        <v/>
      </c>
      <c r="R19" s="4">
        <f>R16+R17-R18</f>
        <v/>
      </c>
      <c r="S19" s="4">
        <f>S16+S17-S18</f>
        <v/>
      </c>
      <c r="T19" s="4">
        <f>T16+T17-T18</f>
        <v/>
      </c>
      <c r="U19" s="4">
        <f>U16+U17-U18</f>
        <v/>
      </c>
      <c r="V19" s="4">
        <f>V16+V17-V18</f>
        <v/>
      </c>
      <c r="W19" s="4">
        <f>W16+W17-W18</f>
        <v/>
      </c>
      <c r="X19" s="4">
        <f>X16+X17-X18</f>
        <v/>
      </c>
      <c r="Y19" s="4">
        <f>Y16+Y17-Y18</f>
        <v/>
      </c>
      <c r="Z19" s="4">
        <f>Z16+Z17-Z18</f>
        <v/>
      </c>
      <c r="AA19" s="4">
        <f>AA16+AA17-AA18</f>
        <v/>
      </c>
      <c r="AB19" s="4">
        <f>AB16+AB17-AB18</f>
        <v/>
      </c>
      <c r="AC19" s="4">
        <f>AC16+AC17-AC18</f>
        <v/>
      </c>
      <c r="AD19" s="4">
        <f>AD16+AD17-AD18</f>
        <v/>
      </c>
      <c r="AE19" s="4">
        <f>AE16+AE17-AE18</f>
        <v/>
      </c>
      <c r="AF19" s="4">
        <f>AF16+AF17-AF18</f>
        <v/>
      </c>
      <c r="AG19" s="4">
        <f>AG16+AG17-AG18</f>
        <v/>
      </c>
      <c r="AH19" s="4">
        <f>AH16+AH17-AH18</f>
        <v/>
      </c>
      <c r="AI19" s="4">
        <f>AI16+AI17-AI18</f>
        <v/>
      </c>
      <c r="AJ19" s="4">
        <f>AJ16+AJ17-AJ18</f>
        <v/>
      </c>
      <c r="AK19" s="4">
        <f>AK16+AK17-AK18</f>
        <v/>
      </c>
      <c r="AL19" s="4">
        <f>AL16+AL17-AL18</f>
        <v/>
      </c>
      <c r="AM19" s="4">
        <f>AM16+AM17-AM18</f>
        <v/>
      </c>
      <c r="AN19" s="4">
        <f>AN16+AN17-AN18</f>
        <v/>
      </c>
      <c r="AO19" s="4">
        <f>AO16+AO17-AO18</f>
        <v/>
      </c>
      <c r="AP19" s="4">
        <f>AP16+AP17-AP18</f>
        <v/>
      </c>
      <c r="AQ19" s="4">
        <f>AQ16+AQ17-AQ18</f>
        <v/>
      </c>
      <c r="AR19" s="4">
        <f>AR16+AR17-AR18</f>
        <v/>
      </c>
      <c r="AS19" s="4">
        <f>AS16+AS17-AS18</f>
        <v/>
      </c>
      <c r="AT19" s="4">
        <f>AT16+AT17-AT18</f>
        <v/>
      </c>
      <c r="AU19" s="4">
        <f>AU16+AU17-AU18</f>
        <v/>
      </c>
    </row>
    <row r="20">
      <c r="A20" s="5" t="inlineStr">
        <is>
          <t>Max allowable Revenue CAPEX</t>
        </is>
      </c>
      <c r="B20" s="4">
        <f>(B16+B17)*$B8+B18</f>
        <v/>
      </c>
      <c r="C20" s="4">
        <f>(C16+C17)*$B8+C18</f>
        <v/>
      </c>
      <c r="D20" s="4">
        <f>(D16+D17)*$B8+D18</f>
        <v/>
      </c>
      <c r="E20" s="4">
        <f>(E16+E17)*$B8+E18</f>
        <v/>
      </c>
      <c r="F20" s="4">
        <f>(F16+F17)*$B8+F18</f>
        <v/>
      </c>
      <c r="G20" s="4">
        <f>(G16+G17)*$B8+G18</f>
        <v/>
      </c>
      <c r="H20" s="4">
        <f>(H16+H17)*$B8+H18</f>
        <v/>
      </c>
      <c r="I20" s="4">
        <f>(I16+I17)*$B8+I18</f>
        <v/>
      </c>
      <c r="J20" s="4">
        <f>(J16+J17)*$B8+J18</f>
        <v/>
      </c>
      <c r="K20" s="4">
        <f>(K16+K17)*$B8+K18</f>
        <v/>
      </c>
      <c r="L20" s="4">
        <f>(L16+L17)*$B8+L18</f>
        <v/>
      </c>
      <c r="M20" s="4">
        <f>(M16+M17)*$B8+M18</f>
        <v/>
      </c>
      <c r="N20" s="4">
        <f>(N16+N17)*$B8+N18</f>
        <v/>
      </c>
      <c r="O20" s="4">
        <f>(O16+O17)*$B8+O18</f>
        <v/>
      </c>
      <c r="P20" s="4">
        <f>(P16+P17)*$B8+P18</f>
        <v/>
      </c>
      <c r="Q20" s="4">
        <f>(Q16+Q17)*$B8+Q18</f>
        <v/>
      </c>
      <c r="R20" s="4">
        <f>(R16+R17)*$B8+R18</f>
        <v/>
      </c>
      <c r="S20" s="4">
        <f>(S16+S17)*$B8+S18</f>
        <v/>
      </c>
      <c r="T20" s="4">
        <f>(T16+T17)*$B8+T18</f>
        <v/>
      </c>
      <c r="U20" s="4">
        <f>(U16+U17)*$B8+U18</f>
        <v/>
      </c>
      <c r="V20" s="4">
        <f>(V16+V17)*$B8+V18</f>
        <v/>
      </c>
      <c r="W20" s="4">
        <f>(W16+W17)*$B8+W18</f>
        <v/>
      </c>
      <c r="X20" s="4">
        <f>(X16+X17)*$B8+X18</f>
        <v/>
      </c>
      <c r="Y20" s="4">
        <f>(Y16+Y17)*$B8+Y18</f>
        <v/>
      </c>
      <c r="Z20" s="4">
        <f>(Z16+Z17)*$B8+Z18</f>
        <v/>
      </c>
      <c r="AA20" s="4">
        <f>(AA16+AA17)*$B8+AA18</f>
        <v/>
      </c>
      <c r="AB20" s="4">
        <f>(AB16+AB17)*$B8+AB18</f>
        <v/>
      </c>
      <c r="AC20" s="4">
        <f>(AC16+AC17)*$B8+AC18</f>
        <v/>
      </c>
      <c r="AD20" s="4">
        <f>(AD16+AD17)*$B8+AD18</f>
        <v/>
      </c>
      <c r="AE20" s="4">
        <f>(AE16+AE17)*$B8+AE18</f>
        <v/>
      </c>
      <c r="AF20" s="4">
        <f>(AF16+AF17)*$B8+AF18</f>
        <v/>
      </c>
      <c r="AG20" s="4">
        <f>(AG16+AG17)*$B8+AG18</f>
        <v/>
      </c>
      <c r="AH20" s="4">
        <f>(AH16+AH17)*$B8+AH18</f>
        <v/>
      </c>
      <c r="AI20" s="4">
        <f>(AI16+AI17)*$B8+AI18</f>
        <v/>
      </c>
      <c r="AJ20" s="4">
        <f>(AJ16+AJ17)*$B8+AJ18</f>
        <v/>
      </c>
      <c r="AK20" s="4">
        <f>(AK16+AK17)*$B8+AK18</f>
        <v/>
      </c>
      <c r="AL20" s="4">
        <f>(AL16+AL17)*$B8+AL18</f>
        <v/>
      </c>
      <c r="AM20" s="4">
        <f>(AM16+AM17)*$B8+AM18</f>
        <v/>
      </c>
      <c r="AN20" s="4">
        <f>(AN16+AN17)*$B8+AN18</f>
        <v/>
      </c>
      <c r="AO20" s="4">
        <f>(AO16+AO17)*$B8+AO18</f>
        <v/>
      </c>
      <c r="AP20" s="4">
        <f>(AP16+AP17)*$B8+AP18</f>
        <v/>
      </c>
      <c r="AQ20" s="4">
        <f>(AQ16+AQ17)*$B8+AQ18</f>
        <v/>
      </c>
      <c r="AR20" s="4">
        <f>(AR16+AR17)*$B8+AR18</f>
        <v/>
      </c>
      <c r="AS20" s="4">
        <f>(AS16+AS17)*$B8+AS18</f>
        <v/>
      </c>
      <c r="AT20" s="4">
        <f>(AT16+AT17)*$B8+AT18</f>
        <v/>
      </c>
      <c r="AU20" s="4">
        <f>(AU16+AU17)*$B8+AU18</f>
        <v/>
      </c>
    </row>
    <row r="21">
      <c r="A21" s="5" t="inlineStr">
        <is>
          <t>OPEX</t>
        </is>
      </c>
      <c r="B21" s="11">
        <f>B20*(1/B11-1)</f>
        <v/>
      </c>
      <c r="C21" s="4">
        <f>$B21*(1+$B$12)^(C15-$B15)</f>
        <v/>
      </c>
      <c r="D21" s="4">
        <f>$B21*(1+$B$12)^(D15-$B15)</f>
        <v/>
      </c>
      <c r="E21" s="4">
        <f>$B21*(1+$B$12)^(E15-$B15)</f>
        <v/>
      </c>
      <c r="F21" s="4">
        <f>$B21*(1+$B$12)^(F15-$B15)</f>
        <v/>
      </c>
      <c r="G21" s="4">
        <f>$B21*(1+$B$12)^(G15-$B15)</f>
        <v/>
      </c>
      <c r="H21" s="4">
        <f>$B21*(1+$B$12)^(H15-$B15)</f>
        <v/>
      </c>
      <c r="I21" s="4">
        <f>$B21*(1+$B$12)^(I15-$B15)</f>
        <v/>
      </c>
      <c r="J21" s="4">
        <f>$B21*(1+$B$12)^(J15-$B15)</f>
        <v/>
      </c>
      <c r="K21" s="4">
        <f>$B21*(1+$B$12)^(K15-$B15)</f>
        <v/>
      </c>
      <c r="L21" s="4">
        <f>$B21*(1+$B$12)^(L15-$B15)</f>
        <v/>
      </c>
      <c r="M21" s="4">
        <f>$B21*(1+$B$12)^(M15-$B15)</f>
        <v/>
      </c>
      <c r="N21" s="4">
        <f>$B21*(1+$B$12)^(N15-$B15)</f>
        <v/>
      </c>
      <c r="O21" s="4">
        <f>$B21*(1+$B$12)^(O15-$B15)</f>
        <v/>
      </c>
      <c r="P21" s="4">
        <f>$B21*(1+$B$12)^(P15-$B15)</f>
        <v/>
      </c>
      <c r="Q21" s="4">
        <f>$B21*(1+$B$12)^(Q15-$B15)</f>
        <v/>
      </c>
      <c r="R21" s="4">
        <f>$B21*(1+$B$12)^(R15-$B15)</f>
        <v/>
      </c>
      <c r="S21" s="4">
        <f>$B21*(1+$B$12)^(S15-$B15)</f>
        <v/>
      </c>
      <c r="T21" s="4">
        <f>$B21*(1+$B$12)^(T15-$B15)</f>
        <v/>
      </c>
      <c r="U21" s="4">
        <f>$B21*(1+$B$12)^(U15-$B15)</f>
        <v/>
      </c>
      <c r="V21" s="4">
        <f>$B21*(1+$B$12)^(V15-$B15)</f>
        <v/>
      </c>
      <c r="W21" s="4">
        <f>$B21*(1+$B$12)^(W15-$B15)</f>
        <v/>
      </c>
      <c r="X21" s="4">
        <f>$B21*(1+$B$12)^(X15-$B15)</f>
        <v/>
      </c>
      <c r="Y21" s="4">
        <f>$B21*(1+$B$12)^(Y15-$B15)</f>
        <v/>
      </c>
      <c r="Z21" s="4">
        <f>$B21*(1+$B$12)^(Z15-$B15)</f>
        <v/>
      </c>
      <c r="AA21" s="4">
        <f>$B21*(1+$B$12)^(AA15-$B15)</f>
        <v/>
      </c>
      <c r="AB21" s="4">
        <f>$B21*(1+$B$12)^(AB15-$B15)</f>
        <v/>
      </c>
      <c r="AC21" s="4">
        <f>$B21*(1+$B$12)^(AC15-$B15)</f>
        <v/>
      </c>
      <c r="AD21" s="4">
        <f>$B21*(1+$B$12)^(AD15-$B15)</f>
        <v/>
      </c>
      <c r="AE21" s="4">
        <f>$B21*(1+$B$12)^(AE15-$B15)</f>
        <v/>
      </c>
      <c r="AF21" s="4">
        <f>$B21*(1+$B$12)^(AF15-$B15)</f>
        <v/>
      </c>
      <c r="AG21" s="4">
        <f>$B21*(1+$B$12)^(AG15-$B15)</f>
        <v/>
      </c>
      <c r="AH21" s="4">
        <f>$B21*(1+$B$12)^(AH15-$B15)</f>
        <v/>
      </c>
      <c r="AI21" s="4">
        <f>$B21*(1+$B$12)^(AI15-$B15)</f>
        <v/>
      </c>
      <c r="AJ21" s="4">
        <f>$B21*(1+$B$12)^(AJ15-$B15)</f>
        <v/>
      </c>
      <c r="AK21" s="4">
        <f>$B21*(1+$B$12)^(AK15-$B15)</f>
        <v/>
      </c>
      <c r="AL21" s="4">
        <f>$B21*(1+$B$12)^(AL15-$B15)</f>
        <v/>
      </c>
      <c r="AM21" s="4">
        <f>$B21*(1+$B$12)^(AM15-$B15)</f>
        <v/>
      </c>
      <c r="AN21" s="4">
        <f>$B21*(1+$B$12)^(AN15-$B15)</f>
        <v/>
      </c>
      <c r="AO21" s="4">
        <f>$B21*(1+$B$12)^(AO15-$B15)</f>
        <v/>
      </c>
      <c r="AP21" s="4">
        <f>$B21*(1+$B$12)^(AP15-$B15)</f>
        <v/>
      </c>
      <c r="AQ21" s="4">
        <f>$B21*(1+$B$12)^(AQ15-$B15)</f>
        <v/>
      </c>
      <c r="AR21" s="4">
        <f>$B21*(1+$B$12)^(AR15-$B15)</f>
        <v/>
      </c>
      <c r="AS21" s="4">
        <f>$B21*(1+$B$12)^(AS15-$B15)</f>
        <v/>
      </c>
      <c r="AT21" s="4">
        <f>$B21*(1+$B$12)^(AT15-$B15)</f>
        <v/>
      </c>
      <c r="AU21" s="4">
        <f>$B21*(1+$B$12)^(AU15-$B15)</f>
        <v/>
      </c>
    </row>
    <row r="22">
      <c r="A22" s="5" t="inlineStr">
        <is>
          <t>Max allowable Revenue</t>
        </is>
      </c>
      <c r="B22" s="4">
        <f>B20+B21</f>
        <v/>
      </c>
      <c r="C22" s="4">
        <f>C20+C21</f>
        <v/>
      </c>
      <c r="D22" s="4">
        <f>D20+D21</f>
        <v/>
      </c>
      <c r="E22" s="4">
        <f>E20+E21</f>
        <v/>
      </c>
      <c r="F22" s="4">
        <f>F20+F21</f>
        <v/>
      </c>
      <c r="G22" s="4">
        <f>G20+G21</f>
        <v/>
      </c>
      <c r="H22" s="4">
        <f>H20+H21</f>
        <v/>
      </c>
      <c r="I22" s="4">
        <f>I20+I21</f>
        <v/>
      </c>
      <c r="J22" s="4">
        <f>J20+J21</f>
        <v/>
      </c>
      <c r="K22" s="4">
        <f>K20+K21</f>
        <v/>
      </c>
      <c r="L22" s="4">
        <f>L20+L21</f>
        <v/>
      </c>
      <c r="M22" s="4">
        <f>M20+M21</f>
        <v/>
      </c>
      <c r="N22" s="4">
        <f>N20+N21</f>
        <v/>
      </c>
      <c r="O22" s="4">
        <f>O20+O21</f>
        <v/>
      </c>
      <c r="P22" s="4">
        <f>P20+P21</f>
        <v/>
      </c>
      <c r="Q22" s="4">
        <f>Q20+Q21</f>
        <v/>
      </c>
      <c r="R22" s="4">
        <f>R20+R21</f>
        <v/>
      </c>
      <c r="S22" s="4">
        <f>S20+S21</f>
        <v/>
      </c>
      <c r="T22" s="4">
        <f>T20+T21</f>
        <v/>
      </c>
      <c r="U22" s="4">
        <f>U20+U21</f>
        <v/>
      </c>
      <c r="V22" s="4">
        <f>V20+V21</f>
        <v/>
      </c>
      <c r="W22" s="4">
        <f>W20+W21</f>
        <v/>
      </c>
      <c r="X22" s="4">
        <f>X20+X21</f>
        <v/>
      </c>
      <c r="Y22" s="4">
        <f>Y20+Y21</f>
        <v/>
      </c>
      <c r="Z22" s="4">
        <f>Z20+Z21</f>
        <v/>
      </c>
      <c r="AA22" s="4">
        <f>AA20+AA21</f>
        <v/>
      </c>
      <c r="AB22" s="4">
        <f>AB20+AB21</f>
        <v/>
      </c>
      <c r="AC22" s="4">
        <f>AC20+AC21</f>
        <v/>
      </c>
      <c r="AD22" s="4">
        <f>AD20+AD21</f>
        <v/>
      </c>
      <c r="AE22" s="4">
        <f>AE20+AE21</f>
        <v/>
      </c>
      <c r="AF22" s="4">
        <f>AF20+AF21</f>
        <v/>
      </c>
      <c r="AG22" s="4">
        <f>AG20+AG21</f>
        <v/>
      </c>
      <c r="AH22" s="4">
        <f>AH20+AH21</f>
        <v/>
      </c>
      <c r="AI22" s="4">
        <f>AI20+AI21</f>
        <v/>
      </c>
      <c r="AJ22" s="4">
        <f>AJ20+AJ21</f>
        <v/>
      </c>
      <c r="AK22" s="4">
        <f>AK20+AK21</f>
        <v/>
      </c>
      <c r="AL22" s="4">
        <f>AL20+AL21</f>
        <v/>
      </c>
      <c r="AM22" s="4">
        <f>AM20+AM21</f>
        <v/>
      </c>
      <c r="AN22" s="4">
        <f>AN20+AN21</f>
        <v/>
      </c>
      <c r="AO22" s="4">
        <f>AO20+AO21</f>
        <v/>
      </c>
      <c r="AP22" s="4">
        <f>AP20+AP21</f>
        <v/>
      </c>
      <c r="AQ22" s="4">
        <f>AQ20+AQ21</f>
        <v/>
      </c>
      <c r="AR22" s="4">
        <f>AR20+AR21</f>
        <v/>
      </c>
      <c r="AS22" s="4">
        <f>AS20+AS21</f>
        <v/>
      </c>
      <c r="AT22" s="4">
        <f>AT20+AT21</f>
        <v/>
      </c>
      <c r="AU22" s="4">
        <f>AU20+AU21</f>
        <v/>
      </c>
    </row>
    <row r="23">
      <c r="A23" s="8" t="inlineStr">
        <is>
          <t>Ratio tariff impact (normalised to 2020)</t>
        </is>
      </c>
      <c r="B23" s="9">
        <f>B22/$B22</f>
        <v/>
      </c>
      <c r="C23" s="9">
        <f>C22/$B22</f>
        <v/>
      </c>
      <c r="D23" s="9">
        <f>D22/$B22</f>
        <v/>
      </c>
      <c r="E23" s="9">
        <f>E22/$B22</f>
        <v/>
      </c>
      <c r="F23" s="9">
        <f>F22/$B22</f>
        <v/>
      </c>
      <c r="G23" s="9">
        <f>G22/$B22</f>
        <v/>
      </c>
      <c r="H23" s="9">
        <f>H22/$B22</f>
        <v/>
      </c>
      <c r="I23" s="9">
        <f>I22/$B22</f>
        <v/>
      </c>
      <c r="J23" s="9">
        <f>J22/$B22</f>
        <v/>
      </c>
      <c r="K23" s="9">
        <f>K22/$B22</f>
        <v/>
      </c>
      <c r="L23" s="9">
        <f>L22/$B22</f>
        <v/>
      </c>
      <c r="M23" s="9">
        <f>M22/$B22</f>
        <v/>
      </c>
      <c r="N23" s="9">
        <f>N22/$B22</f>
        <v/>
      </c>
      <c r="O23" s="9">
        <f>O22/$B22</f>
        <v/>
      </c>
      <c r="P23" s="9">
        <f>P22/$B22</f>
        <v/>
      </c>
      <c r="Q23" s="9">
        <f>Q22/$B22</f>
        <v/>
      </c>
      <c r="R23" s="9">
        <f>R22/$B22</f>
        <v/>
      </c>
      <c r="S23" s="9">
        <f>S22/$B22</f>
        <v/>
      </c>
      <c r="T23" s="9">
        <f>T22/$B22</f>
        <v/>
      </c>
      <c r="U23" s="9">
        <f>U22/$B22</f>
        <v/>
      </c>
      <c r="V23" s="9">
        <f>V22/$B22</f>
        <v/>
      </c>
      <c r="W23" s="9">
        <f>W22/$B22</f>
        <v/>
      </c>
      <c r="X23" s="9">
        <f>X22/$B22</f>
        <v/>
      </c>
      <c r="Y23" s="9">
        <f>Y22/$B22</f>
        <v/>
      </c>
      <c r="Z23" s="9">
        <f>Z22/$B22</f>
        <v/>
      </c>
      <c r="AA23" s="9">
        <f>AA22/$B22</f>
        <v/>
      </c>
      <c r="AB23" s="9">
        <f>AB22/$B22</f>
        <v/>
      </c>
      <c r="AC23" s="9">
        <f>AC22/$B22</f>
        <v/>
      </c>
      <c r="AD23" s="9">
        <f>AD22/$B22</f>
        <v/>
      </c>
      <c r="AE23" s="9">
        <f>AE22/$B22</f>
        <v/>
      </c>
      <c r="AF23" s="9">
        <f>AF22/$B22</f>
        <v/>
      </c>
      <c r="AG23" s="9">
        <f>AG22/$B22</f>
        <v/>
      </c>
      <c r="AH23" s="9">
        <f>AH22/$B22</f>
        <v/>
      </c>
      <c r="AI23" s="9">
        <f>AI22/$B22</f>
        <v/>
      </c>
      <c r="AJ23" s="9">
        <f>AJ22/$B22</f>
        <v/>
      </c>
      <c r="AK23" s="9">
        <f>AK22/$B22</f>
        <v/>
      </c>
      <c r="AL23" s="9">
        <f>AL22/$B22</f>
        <v/>
      </c>
      <c r="AM23" s="9">
        <f>AM22/$B22</f>
        <v/>
      </c>
      <c r="AN23" s="9">
        <f>AN22/$B22</f>
        <v/>
      </c>
      <c r="AO23" s="9">
        <f>AO22/$B22</f>
        <v/>
      </c>
      <c r="AP23" s="9">
        <f>AP22/$B22</f>
        <v/>
      </c>
      <c r="AQ23" s="9">
        <f>AQ22/$B22</f>
        <v/>
      </c>
      <c r="AR23" s="9">
        <f>AR22/$B22</f>
        <v/>
      </c>
      <c r="AS23" s="9">
        <f>AS22/$B22</f>
        <v/>
      </c>
      <c r="AT23" s="9">
        <f>AT22/$B22</f>
        <v/>
      </c>
      <c r="AU23" s="9">
        <f>AU22/$B22</f>
        <v/>
      </c>
    </row>
    <row r="24">
      <c r="B24" s="12">
        <f>B20/B22</f>
        <v/>
      </c>
      <c r="C24" s="12">
        <f>C20/C22</f>
        <v/>
      </c>
      <c r="D24" s="12">
        <f>D20/D22</f>
        <v/>
      </c>
      <c r="E24" s="12">
        <f>E20/E22</f>
        <v/>
      </c>
      <c r="F24" s="12">
        <f>F20/F22</f>
        <v/>
      </c>
      <c r="G24" s="12">
        <f>G20/G22</f>
        <v/>
      </c>
      <c r="H24" s="12">
        <f>H20/H22</f>
        <v/>
      </c>
      <c r="I24" s="12">
        <f>I20/I22</f>
        <v/>
      </c>
      <c r="J24" s="12">
        <f>J20/J22</f>
        <v/>
      </c>
      <c r="K24" s="12">
        <f>K20/K22</f>
        <v/>
      </c>
      <c r="L24" s="12">
        <f>L20/L22</f>
        <v/>
      </c>
      <c r="M24" s="12">
        <f>M20/M22</f>
        <v/>
      </c>
      <c r="N24" s="12">
        <f>N20/N22</f>
        <v/>
      </c>
      <c r="O24" s="12">
        <f>O20/O22</f>
        <v/>
      </c>
      <c r="P24" s="12">
        <f>P20/P22</f>
        <v/>
      </c>
      <c r="Q24" s="12">
        <f>Q20/Q22</f>
        <v/>
      </c>
      <c r="R24" s="12">
        <f>R20/R22</f>
        <v/>
      </c>
      <c r="S24" s="12">
        <f>S20/S22</f>
        <v/>
      </c>
      <c r="T24" s="12">
        <f>T20/T22</f>
        <v/>
      </c>
      <c r="U24" s="12">
        <f>U20/U22</f>
        <v/>
      </c>
      <c r="V24" s="12">
        <f>V20/V22</f>
        <v/>
      </c>
      <c r="W24" s="12">
        <f>W20/W22</f>
        <v/>
      </c>
      <c r="X24" s="12">
        <f>X20/X22</f>
        <v/>
      </c>
      <c r="Y24" s="12">
        <f>Y20/Y22</f>
        <v/>
      </c>
      <c r="Z24" s="12">
        <f>Z20/Z22</f>
        <v/>
      </c>
      <c r="AA24" s="12">
        <f>AA20/AA22</f>
        <v/>
      </c>
      <c r="AB24" s="12">
        <f>AB20/AB22</f>
        <v/>
      </c>
      <c r="AC24" s="12">
        <f>AC20/AC22</f>
        <v/>
      </c>
      <c r="AD24" s="12">
        <f>AD20/AD22</f>
        <v/>
      </c>
      <c r="AE24" s="12">
        <f>AE20/AE22</f>
        <v/>
      </c>
      <c r="AF24" s="12">
        <f>AF20/AF22</f>
        <v/>
      </c>
      <c r="AG24" s="12">
        <f>AG20/AG22</f>
        <v/>
      </c>
      <c r="AH24" s="12">
        <f>AH20/AH22</f>
        <v/>
      </c>
      <c r="AI24" s="12">
        <f>AI20/AI22</f>
        <v/>
      </c>
      <c r="AJ24" s="12">
        <f>AJ20/AJ22</f>
        <v/>
      </c>
      <c r="AK24" s="12">
        <f>AK20/AK22</f>
        <v/>
      </c>
      <c r="AL24" s="12">
        <f>AL20/AL22</f>
        <v/>
      </c>
      <c r="AM24" s="12">
        <f>AM20/AM22</f>
        <v/>
      </c>
      <c r="AN24" s="12">
        <f>AN20/AN22</f>
        <v/>
      </c>
      <c r="AO24" s="12">
        <f>AO20/AO22</f>
        <v/>
      </c>
      <c r="AP24" s="12">
        <f>AP20/AP22</f>
        <v/>
      </c>
      <c r="AQ24" s="12">
        <f>AQ20/AQ22</f>
        <v/>
      </c>
      <c r="AR24" s="12">
        <f>AR20/AR22</f>
        <v/>
      </c>
      <c r="AS24" s="12">
        <f>AS20/AS22</f>
        <v/>
      </c>
      <c r="AT24" s="12">
        <f>AT20/AT22</f>
        <v/>
      </c>
      <c r="AU24" s="12">
        <f>AU20/AU22</f>
        <v/>
      </c>
    </row>
    <row r="27">
      <c r="A27" s="16" t="inlineStr">
        <is>
          <t>Price impact calculation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B28" s="12" t="n"/>
      <c r="C28" s="12" t="n"/>
      <c r="D28" s="12" t="n"/>
      <c r="E28" s="1" t="n"/>
      <c r="F28" s="1" t="n">
        <v>2020</v>
      </c>
      <c r="G28" s="1" t="n">
        <v>2030</v>
      </c>
      <c r="H28" s="1" t="n">
        <v>2040</v>
      </c>
      <c r="I28" s="1" t="n">
        <v>2050</v>
      </c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</row>
    <row r="29">
      <c r="A29" s="1" t="inlineStr">
        <is>
          <t>today's distribution tariff</t>
        </is>
      </c>
      <c r="B29" s="11" t="n">
        <v>53</v>
      </c>
      <c r="C29" s="12" t="inlineStr">
        <is>
          <t>EUR/MWh</t>
        </is>
      </c>
      <c r="D29" s="12" t="n"/>
      <c r="E29" s="12" t="inlineStr">
        <is>
          <t>TWh</t>
        </is>
      </c>
      <c r="F29" s="11" t="n">
        <v>2589.565211</v>
      </c>
      <c r="G29" s="11" t="n">
        <v>2364.02282626194</v>
      </c>
      <c r="H29" s="11" t="n">
        <v>3331.312053044069</v>
      </c>
      <c r="I29" s="11" t="n">
        <v>4629.943959174688</v>
      </c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</row>
    <row r="30">
      <c r="A30" s="1" t="inlineStr">
        <is>
          <t>2020 elec consumption</t>
        </is>
      </c>
      <c r="B30" s="2" t="n">
        <v>2590</v>
      </c>
      <c r="C30" t="inlineStr">
        <is>
          <t>TWh</t>
        </is>
      </c>
      <c r="E30" t="inlineStr">
        <is>
          <t>TWh DSO</t>
        </is>
      </c>
      <c r="F30" s="11">
        <f>F29*$B$31</f>
        <v/>
      </c>
      <c r="G30" s="11" t="n">
        <v>2364.02282626194</v>
      </c>
      <c r="H30" s="11" t="n">
        <v>3331.312053044069</v>
      </c>
      <c r="I30" s="11">
        <f>I29*$B$31</f>
        <v/>
      </c>
    </row>
    <row r="31">
      <c r="A31" s="1" t="inlineStr">
        <is>
          <t>Assumption DSO share consumption</t>
        </is>
      </c>
      <c r="B31" s="2" t="n">
        <v>0.8</v>
      </c>
      <c r="E31" t="inlineStr">
        <is>
          <t>Ratio Consumption</t>
        </is>
      </c>
      <c r="F31" s="21">
        <f>F30/$F30</f>
        <v/>
      </c>
      <c r="G31" s="21">
        <f>G30/$F30</f>
        <v/>
      </c>
      <c r="H31" s="21">
        <f>H30/$F30</f>
        <v/>
      </c>
      <c r="I31" s="21">
        <f>I30/$F30</f>
        <v/>
      </c>
    </row>
    <row r="32">
      <c r="A32" s="1" t="inlineStr">
        <is>
          <t>Estimated DSO revenue</t>
        </is>
      </c>
      <c r="B32" s="14">
        <f>B30*B31*10^6*B29*10^-9</f>
        <v/>
      </c>
      <c r="C32" t="inlineStr">
        <is>
          <t>billion EUR</t>
        </is>
      </c>
      <c r="E32" s="12" t="inlineStr">
        <is>
          <t>Ratio revenue</t>
        </is>
      </c>
      <c r="F32" s="13">
        <f>B23</f>
        <v/>
      </c>
      <c r="G32" s="13">
        <f>L23</f>
        <v/>
      </c>
      <c r="H32" s="13">
        <f>V23</f>
        <v/>
      </c>
      <c r="I32" s="13">
        <f>AF23</f>
        <v/>
      </c>
    </row>
    <row r="33">
      <c r="A33" s="19" t="inlineStr">
        <is>
          <t>Check error against Max Allowable Revenue from revenue model</t>
        </is>
      </c>
      <c r="B33" s="20">
        <f>(B32-B22)/B32</f>
        <v/>
      </c>
      <c r="E33" t="inlineStr">
        <is>
          <t>revenue</t>
        </is>
      </c>
      <c r="F33" s="14">
        <f>B32</f>
        <v/>
      </c>
      <c r="G33" s="14">
        <f>$F33*G32</f>
        <v/>
      </c>
      <c r="H33" s="14">
        <f>$F33*H32</f>
        <v/>
      </c>
      <c r="I33" s="14">
        <f>$F33*I32</f>
        <v/>
      </c>
    </row>
    <row r="34">
      <c r="E34" t="inlineStr">
        <is>
          <t>distribution charges (EUR/MWh)</t>
        </is>
      </c>
      <c r="F34" s="14">
        <f>F33*1000/F30</f>
        <v/>
      </c>
      <c r="G34" s="14">
        <f>G33*1000/G30</f>
        <v/>
      </c>
      <c r="H34" s="14">
        <f>H33*1000/H30</f>
        <v/>
      </c>
      <c r="I34" s="14">
        <f>I33*1000/I30</f>
        <v/>
      </c>
    </row>
    <row r="35">
      <c r="E35" t="inlineStr">
        <is>
          <t>Direct DSO tariff MAR/TWh (EUR/MWh)</t>
        </is>
      </c>
      <c r="F35">
        <f>B22*1000/F30</f>
        <v/>
      </c>
      <c r="G35">
        <f>L22*1000/G30</f>
        <v/>
      </c>
      <c r="H35">
        <f>V22*1000/H30</f>
        <v/>
      </c>
    </row>
    <row r="36">
      <c r="A36" t="inlineStr">
        <is>
          <t>Verbal Input on share of distribution consumption in national total</t>
        </is>
      </c>
      <c r="B36" t="inlineStr">
        <is>
          <t>France</t>
        </is>
      </c>
      <c r="C36" t="inlineStr">
        <is>
          <t>Italy</t>
        </is>
      </c>
      <c r="F36" s="1" t="n">
        <v>2018</v>
      </c>
      <c r="G36" s="1" t="n">
        <v>2030</v>
      </c>
      <c r="H36" s="1" t="n">
        <v>2040</v>
      </c>
      <c r="I36" s="1" t="n">
        <v>2050</v>
      </c>
    </row>
    <row r="37">
      <c r="A37" t="inlineStr">
        <is>
          <t xml:space="preserve">Share of electricity </t>
        </is>
      </c>
      <c r="B37" t="n">
        <v>80</v>
      </c>
      <c r="C37" t="n">
        <v>80</v>
      </c>
    </row>
    <row r="39">
      <c r="A39" t="inlineStr">
        <is>
          <t>Eurostat - T&amp;D tariff</t>
        </is>
      </c>
      <c r="B39" t="n">
        <v>66</v>
      </c>
      <c r="C39" t="n">
        <v>2022</v>
      </c>
      <c r="I39">
        <f>32*3.3</f>
        <v/>
      </c>
    </row>
    <row r="40">
      <c r="I40">
        <f>129+105</f>
        <v/>
      </c>
    </row>
    <row r="41">
      <c r="B41" s="18" t="n"/>
      <c r="I41">
        <f>I40/3.7</f>
        <v/>
      </c>
    </row>
    <row r="45">
      <c r="F45" t="n">
        <v>1.82</v>
      </c>
    </row>
    <row r="46">
      <c r="F46">
        <f>4630/2590</f>
        <v/>
      </c>
    </row>
    <row r="47">
      <c r="F47">
        <f>1.82/1.7876</f>
        <v/>
      </c>
    </row>
    <row r="48">
      <c r="F48">
        <f>54/53</f>
        <v/>
      </c>
    </row>
    <row r="50">
      <c r="A50" t="inlineStr">
        <is>
          <t>PyPSA scenario 65%: 2026-2030 CAPEX = 2030 overnight/5; 2031-2040 CAPEX = 2040 incremental overnight/10 (EUR2015). G30/H30 are DSO HV→LV TWh (no 80% factor). 2020-2025 and 2041+ CAPEX unchanged.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4.5"/>
  <cols>
    <col width="39.1796875" customWidth="1" min="1" max="1"/>
    <col width="11.81640625" bestFit="1" customWidth="1" min="2" max="2"/>
  </cols>
  <sheetData>
    <row r="1">
      <c r="B1" s="2" t="inlineStr">
        <is>
          <t>INPUT</t>
        </is>
      </c>
    </row>
    <row r="2">
      <c r="B2" s="3" t="inlineStr">
        <is>
          <t>CALC</t>
        </is>
      </c>
    </row>
    <row r="4">
      <c r="A4" s="16" t="inlineStr">
        <is>
          <t>Simplified model of DSO allowable revenue for Europe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6">
      <c r="A6" t="inlineStr">
        <is>
          <t>Max allowable revenue</t>
        </is>
      </c>
      <c r="B6" t="inlineStr">
        <is>
          <t>(RAB*WACC)+Depreciation+ OPEX</t>
        </is>
      </c>
    </row>
    <row r="8">
      <c r="A8" s="1" t="inlineStr">
        <is>
          <t>WACC</t>
        </is>
      </c>
      <c r="B8" s="6" t="n">
        <v>0.054</v>
      </c>
    </row>
    <row r="9">
      <c r="A9" s="1" t="inlineStr">
        <is>
          <t>Average Asset Lifetime</t>
        </is>
      </c>
      <c r="B9" s="2" t="n">
        <v>42</v>
      </c>
      <c r="E9" t="inlineStr">
        <is>
          <t>Verbal Input on Share of CAPEX in allowance revenue</t>
        </is>
      </c>
    </row>
    <row r="10">
      <c r="A10" s="1" t="inlineStr">
        <is>
          <t>Depreciation rate</t>
        </is>
      </c>
      <c r="B10" s="7">
        <f>1/B9</f>
        <v/>
      </c>
      <c r="E10" t="inlineStr">
        <is>
          <t>Germany</t>
        </is>
      </c>
      <c r="F10" t="inlineStr">
        <is>
          <t>Italy</t>
        </is>
      </c>
      <c r="G10" t="inlineStr">
        <is>
          <t>Ireland</t>
        </is>
      </c>
      <c r="H10" t="inlineStr">
        <is>
          <t>Portugal</t>
        </is>
      </c>
    </row>
    <row r="11">
      <c r="A11" s="1" t="inlineStr">
        <is>
          <t>Share of CAPEX in allowable revenue</t>
        </is>
      </c>
      <c r="B11" s="10" t="n">
        <v>0.5</v>
      </c>
      <c r="E11" t="n">
        <v>40</v>
      </c>
      <c r="F11" t="n">
        <v>66</v>
      </c>
      <c r="G11" t="n">
        <v>80</v>
      </c>
      <c r="H11" t="n">
        <v>40</v>
      </c>
    </row>
    <row r="12">
      <c r="A12" s="1" t="inlineStr">
        <is>
          <t>OPEX Growth</t>
        </is>
      </c>
      <c r="B12" s="10" t="n">
        <v>0.01</v>
      </c>
    </row>
    <row r="13">
      <c r="A13" s="1" t="inlineStr">
        <is>
          <t>Starting RAB Europe</t>
        </is>
      </c>
      <c r="B13" s="2" t="n">
        <v>700</v>
      </c>
      <c r="C13" t="inlineStr">
        <is>
          <t>B EUR</t>
        </is>
      </c>
    </row>
    <row r="15">
      <c r="A15" s="5" t="inlineStr">
        <is>
          <t>B EUR</t>
        </is>
      </c>
      <c r="B15" s="5" t="n">
        <v>2020</v>
      </c>
      <c r="C15" s="5" t="n">
        <v>2021</v>
      </c>
      <c r="D15" s="5" t="n">
        <v>2022</v>
      </c>
      <c r="E15" s="5" t="n">
        <v>2023</v>
      </c>
      <c r="F15" s="5" t="n">
        <v>2024</v>
      </c>
      <c r="G15" s="5" t="n">
        <v>2025</v>
      </c>
      <c r="H15" s="5" t="n">
        <v>2026</v>
      </c>
      <c r="I15" s="5" t="n">
        <v>2027</v>
      </c>
      <c r="J15" s="5" t="n">
        <v>2028</v>
      </c>
      <c r="K15" s="5" t="n">
        <v>2029</v>
      </c>
      <c r="L15" s="5" t="n">
        <v>2030</v>
      </c>
      <c r="M15" s="5" t="n">
        <v>2031</v>
      </c>
      <c r="N15" s="5" t="n">
        <v>2032</v>
      </c>
      <c r="O15" s="5" t="n">
        <v>2033</v>
      </c>
      <c r="P15" s="5" t="n">
        <v>2034</v>
      </c>
      <c r="Q15" s="5" t="n">
        <v>2035</v>
      </c>
      <c r="R15" s="5" t="n">
        <v>2036</v>
      </c>
      <c r="S15" s="5" t="n">
        <v>2037</v>
      </c>
      <c r="T15" s="5" t="n">
        <v>2038</v>
      </c>
      <c r="U15" s="5" t="n">
        <v>2039</v>
      </c>
      <c r="V15" s="5" t="n">
        <v>2040</v>
      </c>
      <c r="W15" s="5" t="n">
        <v>2041</v>
      </c>
      <c r="X15" s="5" t="n">
        <v>2042</v>
      </c>
      <c r="Y15" s="5" t="n">
        <v>2043</v>
      </c>
      <c r="Z15" s="5" t="n">
        <v>2044</v>
      </c>
      <c r="AA15" s="5" t="n">
        <v>2045</v>
      </c>
      <c r="AB15" s="5" t="n">
        <v>2046</v>
      </c>
      <c r="AC15" s="5" t="n">
        <v>2047</v>
      </c>
      <c r="AD15" s="5" t="n">
        <v>2048</v>
      </c>
      <c r="AE15" s="5" t="n">
        <v>2049</v>
      </c>
      <c r="AF15" s="5" t="n">
        <v>2050</v>
      </c>
      <c r="AG15" s="5" t="n">
        <v>2051</v>
      </c>
      <c r="AH15" s="5" t="n">
        <v>2052</v>
      </c>
      <c r="AI15" s="5" t="n">
        <v>2053</v>
      </c>
      <c r="AJ15" s="5" t="n">
        <v>2054</v>
      </c>
      <c r="AK15" s="5" t="n">
        <v>2055</v>
      </c>
      <c r="AL15" s="5" t="n">
        <v>2056</v>
      </c>
      <c r="AM15" s="5" t="n">
        <v>2057</v>
      </c>
      <c r="AN15" s="5" t="n">
        <v>2058</v>
      </c>
      <c r="AO15" s="5" t="n">
        <v>2059</v>
      </c>
      <c r="AP15" s="5" t="n">
        <v>2060</v>
      </c>
      <c r="AQ15" s="5" t="n">
        <v>2061</v>
      </c>
      <c r="AR15" s="5" t="n">
        <v>2062</v>
      </c>
      <c r="AS15" s="5" t="n">
        <v>2063</v>
      </c>
      <c r="AT15" s="5" t="n">
        <v>2064</v>
      </c>
      <c r="AU15" s="5" t="n">
        <v>2065</v>
      </c>
    </row>
    <row r="16">
      <c r="A16" s="5" t="inlineStr">
        <is>
          <t>Opening RAB</t>
        </is>
      </c>
      <c r="B16" s="3">
        <f>B13</f>
        <v/>
      </c>
      <c r="C16" s="4">
        <f>B19</f>
        <v/>
      </c>
      <c r="D16" s="4">
        <f>C19</f>
        <v/>
      </c>
      <c r="E16" s="4">
        <f>D19</f>
        <v/>
      </c>
      <c r="F16" s="4">
        <f>E19</f>
        <v/>
      </c>
      <c r="G16" s="4">
        <f>F19</f>
        <v/>
      </c>
      <c r="H16" s="4">
        <f>G19</f>
        <v/>
      </c>
      <c r="I16" s="4">
        <f>H19</f>
        <v/>
      </c>
      <c r="J16" s="4">
        <f>I19</f>
        <v/>
      </c>
      <c r="K16" s="4">
        <f>J19</f>
        <v/>
      </c>
      <c r="L16" s="4">
        <f>K19</f>
        <v/>
      </c>
      <c r="M16" s="4">
        <f>L19</f>
        <v/>
      </c>
      <c r="N16" s="4">
        <f>M19</f>
        <v/>
      </c>
      <c r="O16" s="4">
        <f>N19</f>
        <v/>
      </c>
      <c r="P16" s="4">
        <f>O19</f>
        <v/>
      </c>
      <c r="Q16" s="4">
        <f>P19</f>
        <v/>
      </c>
      <c r="R16" s="4">
        <f>Q19</f>
        <v/>
      </c>
      <c r="S16" s="4">
        <f>R19</f>
        <v/>
      </c>
      <c r="T16" s="4">
        <f>S19</f>
        <v/>
      </c>
      <c r="U16" s="4">
        <f>T19</f>
        <v/>
      </c>
      <c r="V16" s="4">
        <f>U19</f>
        <v/>
      </c>
      <c r="W16" s="4">
        <f>V19</f>
        <v/>
      </c>
      <c r="X16" s="4">
        <f>W19</f>
        <v/>
      </c>
      <c r="Y16" s="4">
        <f>X19</f>
        <v/>
      </c>
      <c r="Z16" s="4">
        <f>Y19</f>
        <v/>
      </c>
      <c r="AA16" s="4">
        <f>Z19</f>
        <v/>
      </c>
      <c r="AB16" s="4">
        <f>AA19</f>
        <v/>
      </c>
      <c r="AC16" s="4">
        <f>AB19</f>
        <v/>
      </c>
      <c r="AD16" s="4">
        <f>AC19</f>
        <v/>
      </c>
      <c r="AE16" s="4">
        <f>AD19</f>
        <v/>
      </c>
      <c r="AF16" s="4">
        <f>AE19</f>
        <v/>
      </c>
      <c r="AG16" s="4">
        <f>AF19</f>
        <v/>
      </c>
      <c r="AH16" s="4">
        <f>AG19</f>
        <v/>
      </c>
      <c r="AI16" s="4">
        <f>AH19</f>
        <v/>
      </c>
      <c r="AJ16" s="4">
        <f>AI19</f>
        <v/>
      </c>
      <c r="AK16" s="4">
        <f>AJ19</f>
        <v/>
      </c>
      <c r="AL16" s="4">
        <f>AK19</f>
        <v/>
      </c>
      <c r="AM16" s="4">
        <f>AL19</f>
        <v/>
      </c>
      <c r="AN16" s="4">
        <f>AM19</f>
        <v/>
      </c>
      <c r="AO16" s="4">
        <f>AN19</f>
        <v/>
      </c>
      <c r="AP16" s="4">
        <f>AO19</f>
        <v/>
      </c>
      <c r="AQ16" s="4">
        <f>AP19</f>
        <v/>
      </c>
      <c r="AR16" s="4">
        <f>AQ19</f>
        <v/>
      </c>
      <c r="AS16" s="4">
        <f>AR19</f>
        <v/>
      </c>
      <c r="AT16" s="4">
        <f>AS19</f>
        <v/>
      </c>
      <c r="AU16" s="4">
        <f>AT19</f>
        <v/>
      </c>
    </row>
    <row r="17">
      <c r="A17" s="5" t="inlineStr">
        <is>
          <t>CAPEX addition</t>
        </is>
      </c>
      <c r="B17" s="2" t="n">
        <v>29</v>
      </c>
      <c r="C17" s="2" t="n">
        <v>32</v>
      </c>
      <c r="D17" s="2" t="n">
        <v>35</v>
      </c>
      <c r="E17" s="2" t="n">
        <v>36</v>
      </c>
      <c r="F17" s="2" t="n">
        <v>40</v>
      </c>
      <c r="G17" s="2" t="n">
        <v>60</v>
      </c>
      <c r="H17" s="2" t="n">
        <v>32.27689471295956</v>
      </c>
      <c r="I17" s="2" t="n">
        <v>32.27689471295956</v>
      </c>
      <c r="J17" s="2" t="n">
        <v>32.27689471295956</v>
      </c>
      <c r="K17" s="2" t="n">
        <v>32.27689471295956</v>
      </c>
      <c r="L17" s="2" t="n">
        <v>32.27689471295956</v>
      </c>
      <c r="M17" s="2" t="n">
        <v>7.464545081706362</v>
      </c>
      <c r="N17" s="2" t="n">
        <v>7.464545081706362</v>
      </c>
      <c r="O17" s="2" t="n">
        <v>7.464545081706362</v>
      </c>
      <c r="P17" s="2" t="n">
        <v>7.464545081706362</v>
      </c>
      <c r="Q17" s="2" t="n">
        <v>7.464545081706362</v>
      </c>
      <c r="R17" s="2" t="n">
        <v>7.464545081706362</v>
      </c>
      <c r="S17" s="2" t="n">
        <v>7.464545081706362</v>
      </c>
      <c r="T17" s="2" t="n">
        <v>7.464545081706362</v>
      </c>
      <c r="U17" s="2" t="n">
        <v>7.464545081706362</v>
      </c>
      <c r="V17" s="2" t="n">
        <v>7.464545081706362</v>
      </c>
      <c r="W17" s="2" t="n">
        <v>60</v>
      </c>
      <c r="X17" s="2" t="n">
        <v>60</v>
      </c>
      <c r="Y17" s="2" t="n">
        <v>60</v>
      </c>
      <c r="Z17" s="2" t="n">
        <v>60</v>
      </c>
      <c r="AA17" s="2" t="n">
        <v>60</v>
      </c>
      <c r="AB17" s="2" t="n">
        <v>60</v>
      </c>
      <c r="AC17" s="2" t="n">
        <v>60</v>
      </c>
      <c r="AD17" s="2" t="n">
        <v>60</v>
      </c>
      <c r="AE17" s="2" t="n">
        <v>60</v>
      </c>
      <c r="AF17" s="2" t="n">
        <v>60</v>
      </c>
      <c r="AG17" s="2" t="n">
        <v>60</v>
      </c>
      <c r="AH17" s="2" t="n">
        <v>60</v>
      </c>
      <c r="AI17" s="2" t="n">
        <v>60</v>
      </c>
      <c r="AJ17" s="2" t="n">
        <v>60</v>
      </c>
      <c r="AK17" s="2" t="n">
        <v>60</v>
      </c>
      <c r="AL17" s="2" t="n">
        <v>60</v>
      </c>
      <c r="AM17" s="2" t="n">
        <v>60</v>
      </c>
      <c r="AN17" s="2" t="n">
        <v>60</v>
      </c>
      <c r="AO17" s="2" t="n">
        <v>60</v>
      </c>
      <c r="AP17" s="2" t="n">
        <v>60</v>
      </c>
      <c r="AQ17" s="2" t="n">
        <v>60</v>
      </c>
      <c r="AR17" s="2" t="n">
        <v>60</v>
      </c>
      <c r="AS17" s="2" t="n">
        <v>60</v>
      </c>
      <c r="AT17" s="2" t="n">
        <v>60</v>
      </c>
      <c r="AU17" s="2" t="n">
        <v>60</v>
      </c>
    </row>
    <row r="18">
      <c r="A18" s="5" t="inlineStr">
        <is>
          <t>Depreciation</t>
        </is>
      </c>
      <c r="B18" s="4">
        <f>(B16*$B10)</f>
        <v/>
      </c>
      <c r="C18" s="4">
        <f>(C16*$B10)</f>
        <v/>
      </c>
      <c r="D18" s="4">
        <f>(D16*$B10)</f>
        <v/>
      </c>
      <c r="E18" s="4">
        <f>(E16*$B10)</f>
        <v/>
      </c>
      <c r="F18" s="4">
        <f>(F16*$B10)</f>
        <v/>
      </c>
      <c r="G18" s="4">
        <f>(G16*$B10)</f>
        <v/>
      </c>
      <c r="H18" s="4">
        <f>(H16*$B10)</f>
        <v/>
      </c>
      <c r="I18" s="4">
        <f>(I16*$B10)</f>
        <v/>
      </c>
      <c r="J18" s="4">
        <f>(J16*$B10)</f>
        <v/>
      </c>
      <c r="K18" s="4">
        <f>(K16*$B10)</f>
        <v/>
      </c>
      <c r="L18" s="4">
        <f>(L16*$B10)</f>
        <v/>
      </c>
      <c r="M18" s="15">
        <f>L18</f>
        <v/>
      </c>
      <c r="N18" s="15">
        <f>M18</f>
        <v/>
      </c>
      <c r="O18" s="15">
        <f>N18</f>
        <v/>
      </c>
      <c r="P18" s="15">
        <f>O18</f>
        <v/>
      </c>
      <c r="Q18" s="15">
        <f>P18</f>
        <v/>
      </c>
      <c r="R18" s="15">
        <f>Q18</f>
        <v/>
      </c>
      <c r="S18" s="15">
        <f>R18</f>
        <v/>
      </c>
      <c r="T18" s="15">
        <f>S18</f>
        <v/>
      </c>
      <c r="U18" s="15">
        <f>T18</f>
        <v/>
      </c>
      <c r="V18" s="15">
        <f>U18</f>
        <v/>
      </c>
      <c r="W18" s="15">
        <f>V18</f>
        <v/>
      </c>
      <c r="X18" s="15">
        <f>W18</f>
        <v/>
      </c>
      <c r="Y18" s="15">
        <f>X18</f>
        <v/>
      </c>
      <c r="Z18" s="15">
        <f>Y18</f>
        <v/>
      </c>
      <c r="AA18" s="15">
        <f>Z18</f>
        <v/>
      </c>
      <c r="AB18" s="15">
        <f>AA18</f>
        <v/>
      </c>
      <c r="AC18" s="15">
        <f>AB18</f>
        <v/>
      </c>
      <c r="AD18" s="15">
        <f>AC18</f>
        <v/>
      </c>
      <c r="AE18" s="15">
        <f>AD18</f>
        <v/>
      </c>
      <c r="AF18" s="15">
        <f>AE18</f>
        <v/>
      </c>
      <c r="AG18" s="15">
        <f>AF18</f>
        <v/>
      </c>
      <c r="AH18" s="15">
        <f>AG18</f>
        <v/>
      </c>
      <c r="AI18" s="15">
        <f>AH18</f>
        <v/>
      </c>
      <c r="AJ18" s="15">
        <f>AI18</f>
        <v/>
      </c>
      <c r="AK18" s="15">
        <f>AJ18</f>
        <v/>
      </c>
      <c r="AL18" s="15">
        <f>AK18</f>
        <v/>
      </c>
      <c r="AM18" s="15">
        <f>AL18</f>
        <v/>
      </c>
      <c r="AN18" s="15">
        <f>AM18</f>
        <v/>
      </c>
      <c r="AO18" s="15">
        <f>AN18</f>
        <v/>
      </c>
      <c r="AP18" s="15">
        <f>AO18</f>
        <v/>
      </c>
      <c r="AQ18" s="15">
        <f>AP18</f>
        <v/>
      </c>
      <c r="AR18" s="15">
        <f>AQ18</f>
        <v/>
      </c>
      <c r="AS18" s="15">
        <f>AR18</f>
        <v/>
      </c>
      <c r="AT18" s="15">
        <f>AS18</f>
        <v/>
      </c>
      <c r="AU18" s="15">
        <f>AT18</f>
        <v/>
      </c>
    </row>
    <row r="19">
      <c r="A19" s="5" t="inlineStr">
        <is>
          <t>New RAB</t>
        </is>
      </c>
      <c r="B19" s="4">
        <f>B16+B17-B18</f>
        <v/>
      </c>
      <c r="C19" s="4">
        <f>C16+C17-C18</f>
        <v/>
      </c>
      <c r="D19" s="4">
        <f>D16+D17-D18</f>
        <v/>
      </c>
      <c r="E19" s="4">
        <f>E16+E17-E18</f>
        <v/>
      </c>
      <c r="F19" s="4">
        <f>F16+F17-F18</f>
        <v/>
      </c>
      <c r="G19" s="4">
        <f>G16+G17-G18</f>
        <v/>
      </c>
      <c r="H19" s="4">
        <f>H16+H17-H18</f>
        <v/>
      </c>
      <c r="I19" s="4">
        <f>I16+I17-I18</f>
        <v/>
      </c>
      <c r="J19" s="4">
        <f>J16+J17-J18</f>
        <v/>
      </c>
      <c r="K19" s="4">
        <f>K16+K17-K18</f>
        <v/>
      </c>
      <c r="L19" s="4">
        <f>L16+L17-L18</f>
        <v/>
      </c>
      <c r="M19" s="4">
        <f>M16+M17-M18</f>
        <v/>
      </c>
      <c r="N19" s="4">
        <f>N16+N17-N18</f>
        <v/>
      </c>
      <c r="O19" s="4">
        <f>O16+O17-O18</f>
        <v/>
      </c>
      <c r="P19" s="4">
        <f>P16+P17-P18</f>
        <v/>
      </c>
      <c r="Q19" s="4">
        <f>Q16+Q17-Q18</f>
        <v/>
      </c>
      <c r="R19" s="4">
        <f>R16+R17-R18</f>
        <v/>
      </c>
      <c r="S19" s="4">
        <f>S16+S17-S18</f>
        <v/>
      </c>
      <c r="T19" s="4">
        <f>T16+T17-T18</f>
        <v/>
      </c>
      <c r="U19" s="4">
        <f>U16+U17-U18</f>
        <v/>
      </c>
      <c r="V19" s="4">
        <f>V16+V17-V18</f>
        <v/>
      </c>
      <c r="W19" s="4">
        <f>W16+W17-W18</f>
        <v/>
      </c>
      <c r="X19" s="4">
        <f>X16+X17-X18</f>
        <v/>
      </c>
      <c r="Y19" s="4">
        <f>Y16+Y17-Y18</f>
        <v/>
      </c>
      <c r="Z19" s="4">
        <f>Z16+Z17-Z18</f>
        <v/>
      </c>
      <c r="AA19" s="4">
        <f>AA16+AA17-AA18</f>
        <v/>
      </c>
      <c r="AB19" s="4">
        <f>AB16+AB17-AB18</f>
        <v/>
      </c>
      <c r="AC19" s="4">
        <f>AC16+AC17-AC18</f>
        <v/>
      </c>
      <c r="AD19" s="4">
        <f>AD16+AD17-AD18</f>
        <v/>
      </c>
      <c r="AE19" s="4">
        <f>AE16+AE17-AE18</f>
        <v/>
      </c>
      <c r="AF19" s="4">
        <f>AF16+AF17-AF18</f>
        <v/>
      </c>
      <c r="AG19" s="4">
        <f>AG16+AG17-AG18</f>
        <v/>
      </c>
      <c r="AH19" s="4">
        <f>AH16+AH17-AH18</f>
        <v/>
      </c>
      <c r="AI19" s="4">
        <f>AI16+AI17-AI18</f>
        <v/>
      </c>
      <c r="AJ19" s="4">
        <f>AJ16+AJ17-AJ18</f>
        <v/>
      </c>
      <c r="AK19" s="4">
        <f>AK16+AK17-AK18</f>
        <v/>
      </c>
      <c r="AL19" s="4">
        <f>AL16+AL17-AL18</f>
        <v/>
      </c>
      <c r="AM19" s="4">
        <f>AM16+AM17-AM18</f>
        <v/>
      </c>
      <c r="AN19" s="4">
        <f>AN16+AN17-AN18</f>
        <v/>
      </c>
      <c r="AO19" s="4">
        <f>AO16+AO17-AO18</f>
        <v/>
      </c>
      <c r="AP19" s="4">
        <f>AP16+AP17-AP18</f>
        <v/>
      </c>
      <c r="AQ19" s="4">
        <f>AQ16+AQ17-AQ18</f>
        <v/>
      </c>
      <c r="AR19" s="4">
        <f>AR16+AR17-AR18</f>
        <v/>
      </c>
      <c r="AS19" s="4">
        <f>AS16+AS17-AS18</f>
        <v/>
      </c>
      <c r="AT19" s="4">
        <f>AT16+AT17-AT18</f>
        <v/>
      </c>
      <c r="AU19" s="4">
        <f>AU16+AU17-AU18</f>
        <v/>
      </c>
    </row>
    <row r="20">
      <c r="A20" s="5" t="inlineStr">
        <is>
          <t>Max allowable Revenue CAPEX</t>
        </is>
      </c>
      <c r="B20" s="4">
        <f>(B16+B17)*$B8+B18</f>
        <v/>
      </c>
      <c r="C20" s="4">
        <f>(C16+C17)*$B8+C18</f>
        <v/>
      </c>
      <c r="D20" s="4">
        <f>(D16+D17)*$B8+D18</f>
        <v/>
      </c>
      <c r="E20" s="4">
        <f>(E16+E17)*$B8+E18</f>
        <v/>
      </c>
      <c r="F20" s="4">
        <f>(F16+F17)*$B8+F18</f>
        <v/>
      </c>
      <c r="G20" s="4">
        <f>(G16+G17)*$B8+G18</f>
        <v/>
      </c>
      <c r="H20" s="4">
        <f>(H16+H17)*$B8+H18</f>
        <v/>
      </c>
      <c r="I20" s="4">
        <f>(I16+I17)*$B8+I18</f>
        <v/>
      </c>
      <c r="J20" s="4">
        <f>(J16+J17)*$B8+J18</f>
        <v/>
      </c>
      <c r="K20" s="4">
        <f>(K16+K17)*$B8+K18</f>
        <v/>
      </c>
      <c r="L20" s="4">
        <f>(L16+L17)*$B8+L18</f>
        <v/>
      </c>
      <c r="M20" s="4">
        <f>(M16+M17)*$B8+M18</f>
        <v/>
      </c>
      <c r="N20" s="4">
        <f>(N16+N17)*$B8+N18</f>
        <v/>
      </c>
      <c r="O20" s="4">
        <f>(O16+O17)*$B8+O18</f>
        <v/>
      </c>
      <c r="P20" s="4">
        <f>(P16+P17)*$B8+P18</f>
        <v/>
      </c>
      <c r="Q20" s="4">
        <f>(Q16+Q17)*$B8+Q18</f>
        <v/>
      </c>
      <c r="R20" s="4">
        <f>(R16+R17)*$B8+R18</f>
        <v/>
      </c>
      <c r="S20" s="4">
        <f>(S16+S17)*$B8+S18</f>
        <v/>
      </c>
      <c r="T20" s="4">
        <f>(T16+T17)*$B8+T18</f>
        <v/>
      </c>
      <c r="U20" s="4">
        <f>(U16+U17)*$B8+U18</f>
        <v/>
      </c>
      <c r="V20" s="4">
        <f>(V16+V17)*$B8+V18</f>
        <v/>
      </c>
      <c r="W20" s="4">
        <f>(W16+W17)*$B8+W18</f>
        <v/>
      </c>
      <c r="X20" s="4">
        <f>(X16+X17)*$B8+X18</f>
        <v/>
      </c>
      <c r="Y20" s="4">
        <f>(Y16+Y17)*$B8+Y18</f>
        <v/>
      </c>
      <c r="Z20" s="4">
        <f>(Z16+Z17)*$B8+Z18</f>
        <v/>
      </c>
      <c r="AA20" s="4">
        <f>(AA16+AA17)*$B8+AA18</f>
        <v/>
      </c>
      <c r="AB20" s="4">
        <f>(AB16+AB17)*$B8+AB18</f>
        <v/>
      </c>
      <c r="AC20" s="4">
        <f>(AC16+AC17)*$B8+AC18</f>
        <v/>
      </c>
      <c r="AD20" s="4">
        <f>(AD16+AD17)*$B8+AD18</f>
        <v/>
      </c>
      <c r="AE20" s="4">
        <f>(AE16+AE17)*$B8+AE18</f>
        <v/>
      </c>
      <c r="AF20" s="4">
        <f>(AF16+AF17)*$B8+AF18</f>
        <v/>
      </c>
      <c r="AG20" s="4">
        <f>(AG16+AG17)*$B8+AG18</f>
        <v/>
      </c>
      <c r="AH20" s="4">
        <f>(AH16+AH17)*$B8+AH18</f>
        <v/>
      </c>
      <c r="AI20" s="4">
        <f>(AI16+AI17)*$B8+AI18</f>
        <v/>
      </c>
      <c r="AJ20" s="4">
        <f>(AJ16+AJ17)*$B8+AJ18</f>
        <v/>
      </c>
      <c r="AK20" s="4">
        <f>(AK16+AK17)*$B8+AK18</f>
        <v/>
      </c>
      <c r="AL20" s="4">
        <f>(AL16+AL17)*$B8+AL18</f>
        <v/>
      </c>
      <c r="AM20" s="4">
        <f>(AM16+AM17)*$B8+AM18</f>
        <v/>
      </c>
      <c r="AN20" s="4">
        <f>(AN16+AN17)*$B8+AN18</f>
        <v/>
      </c>
      <c r="AO20" s="4">
        <f>(AO16+AO17)*$B8+AO18</f>
        <v/>
      </c>
      <c r="AP20" s="4">
        <f>(AP16+AP17)*$B8+AP18</f>
        <v/>
      </c>
      <c r="AQ20" s="4">
        <f>(AQ16+AQ17)*$B8+AQ18</f>
        <v/>
      </c>
      <c r="AR20" s="4">
        <f>(AR16+AR17)*$B8+AR18</f>
        <v/>
      </c>
      <c r="AS20" s="4">
        <f>(AS16+AS17)*$B8+AS18</f>
        <v/>
      </c>
      <c r="AT20" s="4">
        <f>(AT16+AT17)*$B8+AT18</f>
        <v/>
      </c>
      <c r="AU20" s="4">
        <f>(AU16+AU17)*$B8+AU18</f>
        <v/>
      </c>
    </row>
    <row r="21">
      <c r="A21" s="5" t="inlineStr">
        <is>
          <t>OPEX</t>
        </is>
      </c>
      <c r="B21" s="11">
        <f>B20*(1/B11-1)</f>
        <v/>
      </c>
      <c r="C21" s="4">
        <f>$B21*(1+$B$12)^(C15-$B15)</f>
        <v/>
      </c>
      <c r="D21" s="4">
        <f>$B21*(1+$B$12)^(D15-$B15)</f>
        <v/>
      </c>
      <c r="E21" s="4">
        <f>$B21*(1+$B$12)^(E15-$B15)</f>
        <v/>
      </c>
      <c r="F21" s="4">
        <f>$B21*(1+$B$12)^(F15-$B15)</f>
        <v/>
      </c>
      <c r="G21" s="4">
        <f>$B21*(1+$B$12)^(G15-$B15)</f>
        <v/>
      </c>
      <c r="H21" s="4">
        <f>$B21*(1+$B$12)^(H15-$B15)</f>
        <v/>
      </c>
      <c r="I21" s="4">
        <f>$B21*(1+$B$12)^(I15-$B15)</f>
        <v/>
      </c>
      <c r="J21" s="4">
        <f>$B21*(1+$B$12)^(J15-$B15)</f>
        <v/>
      </c>
      <c r="K21" s="4">
        <f>$B21*(1+$B$12)^(K15-$B15)</f>
        <v/>
      </c>
      <c r="L21" s="4">
        <f>$B21*(1+$B$12)^(L15-$B15)</f>
        <v/>
      </c>
      <c r="M21" s="4">
        <f>$B21*(1+$B$12)^(M15-$B15)</f>
        <v/>
      </c>
      <c r="N21" s="4">
        <f>$B21*(1+$B$12)^(N15-$B15)</f>
        <v/>
      </c>
      <c r="O21" s="4">
        <f>$B21*(1+$B$12)^(O15-$B15)</f>
        <v/>
      </c>
      <c r="P21" s="4">
        <f>$B21*(1+$B$12)^(P15-$B15)</f>
        <v/>
      </c>
      <c r="Q21" s="4">
        <f>$B21*(1+$B$12)^(Q15-$B15)</f>
        <v/>
      </c>
      <c r="R21" s="4">
        <f>$B21*(1+$B$12)^(R15-$B15)</f>
        <v/>
      </c>
      <c r="S21" s="4">
        <f>$B21*(1+$B$12)^(S15-$B15)</f>
        <v/>
      </c>
      <c r="T21" s="4">
        <f>$B21*(1+$B$12)^(T15-$B15)</f>
        <v/>
      </c>
      <c r="U21" s="4">
        <f>$B21*(1+$B$12)^(U15-$B15)</f>
        <v/>
      </c>
      <c r="V21" s="4">
        <f>$B21*(1+$B$12)^(V15-$B15)</f>
        <v/>
      </c>
      <c r="W21" s="4">
        <f>$B21*(1+$B$12)^(W15-$B15)</f>
        <v/>
      </c>
      <c r="X21" s="4">
        <f>$B21*(1+$B$12)^(X15-$B15)</f>
        <v/>
      </c>
      <c r="Y21" s="4">
        <f>$B21*(1+$B$12)^(Y15-$B15)</f>
        <v/>
      </c>
      <c r="Z21" s="4">
        <f>$B21*(1+$B$12)^(Z15-$B15)</f>
        <v/>
      </c>
      <c r="AA21" s="4">
        <f>$B21*(1+$B$12)^(AA15-$B15)</f>
        <v/>
      </c>
      <c r="AB21" s="4">
        <f>$B21*(1+$B$12)^(AB15-$B15)</f>
        <v/>
      </c>
      <c r="AC21" s="4">
        <f>$B21*(1+$B$12)^(AC15-$B15)</f>
        <v/>
      </c>
      <c r="AD21" s="4">
        <f>$B21*(1+$B$12)^(AD15-$B15)</f>
        <v/>
      </c>
      <c r="AE21" s="4">
        <f>$B21*(1+$B$12)^(AE15-$B15)</f>
        <v/>
      </c>
      <c r="AF21" s="4">
        <f>$B21*(1+$B$12)^(AF15-$B15)</f>
        <v/>
      </c>
      <c r="AG21" s="4">
        <f>$B21*(1+$B$12)^(AG15-$B15)</f>
        <v/>
      </c>
      <c r="AH21" s="4">
        <f>$B21*(1+$B$12)^(AH15-$B15)</f>
        <v/>
      </c>
      <c r="AI21" s="4">
        <f>$B21*(1+$B$12)^(AI15-$B15)</f>
        <v/>
      </c>
      <c r="AJ21" s="4">
        <f>$B21*(1+$B$12)^(AJ15-$B15)</f>
        <v/>
      </c>
      <c r="AK21" s="4">
        <f>$B21*(1+$B$12)^(AK15-$B15)</f>
        <v/>
      </c>
      <c r="AL21" s="4">
        <f>$B21*(1+$B$12)^(AL15-$B15)</f>
        <v/>
      </c>
      <c r="AM21" s="4">
        <f>$B21*(1+$B$12)^(AM15-$B15)</f>
        <v/>
      </c>
      <c r="AN21" s="4">
        <f>$B21*(1+$B$12)^(AN15-$B15)</f>
        <v/>
      </c>
      <c r="AO21" s="4">
        <f>$B21*(1+$B$12)^(AO15-$B15)</f>
        <v/>
      </c>
      <c r="AP21" s="4">
        <f>$B21*(1+$B$12)^(AP15-$B15)</f>
        <v/>
      </c>
      <c r="AQ21" s="4">
        <f>$B21*(1+$B$12)^(AQ15-$B15)</f>
        <v/>
      </c>
      <c r="AR21" s="4">
        <f>$B21*(1+$B$12)^(AR15-$B15)</f>
        <v/>
      </c>
      <c r="AS21" s="4">
        <f>$B21*(1+$B$12)^(AS15-$B15)</f>
        <v/>
      </c>
      <c r="AT21" s="4">
        <f>$B21*(1+$B$12)^(AT15-$B15)</f>
        <v/>
      </c>
      <c r="AU21" s="4">
        <f>$B21*(1+$B$12)^(AU15-$B15)</f>
        <v/>
      </c>
    </row>
    <row r="22">
      <c r="A22" s="5" t="inlineStr">
        <is>
          <t>Max allowable Revenue</t>
        </is>
      </c>
      <c r="B22" s="4">
        <f>B20+B21</f>
        <v/>
      </c>
      <c r="C22" s="4">
        <f>C20+C21</f>
        <v/>
      </c>
      <c r="D22" s="4">
        <f>D20+D21</f>
        <v/>
      </c>
      <c r="E22" s="4">
        <f>E20+E21</f>
        <v/>
      </c>
      <c r="F22" s="4">
        <f>F20+F21</f>
        <v/>
      </c>
      <c r="G22" s="4">
        <f>G20+G21</f>
        <v/>
      </c>
      <c r="H22" s="4">
        <f>H20+H21</f>
        <v/>
      </c>
      <c r="I22" s="4">
        <f>I20+I21</f>
        <v/>
      </c>
      <c r="J22" s="4">
        <f>J20+J21</f>
        <v/>
      </c>
      <c r="K22" s="4">
        <f>K20+K21</f>
        <v/>
      </c>
      <c r="L22" s="4">
        <f>L20+L21</f>
        <v/>
      </c>
      <c r="M22" s="4">
        <f>M20+M21</f>
        <v/>
      </c>
      <c r="N22" s="4">
        <f>N20+N21</f>
        <v/>
      </c>
      <c r="O22" s="4">
        <f>O20+O21</f>
        <v/>
      </c>
      <c r="P22" s="4">
        <f>P20+P21</f>
        <v/>
      </c>
      <c r="Q22" s="4">
        <f>Q20+Q21</f>
        <v/>
      </c>
      <c r="R22" s="4">
        <f>R20+R21</f>
        <v/>
      </c>
      <c r="S22" s="4">
        <f>S20+S21</f>
        <v/>
      </c>
      <c r="T22" s="4">
        <f>T20+T21</f>
        <v/>
      </c>
      <c r="U22" s="4">
        <f>U20+U21</f>
        <v/>
      </c>
      <c r="V22" s="4">
        <f>V20+V21</f>
        <v/>
      </c>
      <c r="W22" s="4">
        <f>W20+W21</f>
        <v/>
      </c>
      <c r="X22" s="4">
        <f>X20+X21</f>
        <v/>
      </c>
      <c r="Y22" s="4">
        <f>Y20+Y21</f>
        <v/>
      </c>
      <c r="Z22" s="4">
        <f>Z20+Z21</f>
        <v/>
      </c>
      <c r="AA22" s="4">
        <f>AA20+AA21</f>
        <v/>
      </c>
      <c r="AB22" s="4">
        <f>AB20+AB21</f>
        <v/>
      </c>
      <c r="AC22" s="4">
        <f>AC20+AC21</f>
        <v/>
      </c>
      <c r="AD22" s="4">
        <f>AD20+AD21</f>
        <v/>
      </c>
      <c r="AE22" s="4">
        <f>AE20+AE21</f>
        <v/>
      </c>
      <c r="AF22" s="4">
        <f>AF20+AF21</f>
        <v/>
      </c>
      <c r="AG22" s="4">
        <f>AG20+AG21</f>
        <v/>
      </c>
      <c r="AH22" s="4">
        <f>AH20+AH21</f>
        <v/>
      </c>
      <c r="AI22" s="4">
        <f>AI20+AI21</f>
        <v/>
      </c>
      <c r="AJ22" s="4">
        <f>AJ20+AJ21</f>
        <v/>
      </c>
      <c r="AK22" s="4">
        <f>AK20+AK21</f>
        <v/>
      </c>
      <c r="AL22" s="4">
        <f>AL20+AL21</f>
        <v/>
      </c>
      <c r="AM22" s="4">
        <f>AM20+AM21</f>
        <v/>
      </c>
      <c r="AN22" s="4">
        <f>AN20+AN21</f>
        <v/>
      </c>
      <c r="AO22" s="4">
        <f>AO20+AO21</f>
        <v/>
      </c>
      <c r="AP22" s="4">
        <f>AP20+AP21</f>
        <v/>
      </c>
      <c r="AQ22" s="4">
        <f>AQ20+AQ21</f>
        <v/>
      </c>
      <c r="AR22" s="4">
        <f>AR20+AR21</f>
        <v/>
      </c>
      <c r="AS22" s="4">
        <f>AS20+AS21</f>
        <v/>
      </c>
      <c r="AT22" s="4">
        <f>AT20+AT21</f>
        <v/>
      </c>
      <c r="AU22" s="4">
        <f>AU20+AU21</f>
        <v/>
      </c>
    </row>
    <row r="23">
      <c r="A23" s="8" t="inlineStr">
        <is>
          <t>Ratio tariff impact (normalised to 2020)</t>
        </is>
      </c>
      <c r="B23" s="9">
        <f>B22/$B22</f>
        <v/>
      </c>
      <c r="C23" s="9">
        <f>C22/$B22</f>
        <v/>
      </c>
      <c r="D23" s="9">
        <f>D22/$B22</f>
        <v/>
      </c>
      <c r="E23" s="9">
        <f>E22/$B22</f>
        <v/>
      </c>
      <c r="F23" s="9">
        <f>F22/$B22</f>
        <v/>
      </c>
      <c r="G23" s="9">
        <f>G22/$B22</f>
        <v/>
      </c>
      <c r="H23" s="9">
        <f>H22/$B22</f>
        <v/>
      </c>
      <c r="I23" s="9">
        <f>I22/$B22</f>
        <v/>
      </c>
      <c r="J23" s="9">
        <f>J22/$B22</f>
        <v/>
      </c>
      <c r="K23" s="9">
        <f>K22/$B22</f>
        <v/>
      </c>
      <c r="L23" s="9">
        <f>L22/$B22</f>
        <v/>
      </c>
      <c r="M23" s="9">
        <f>M22/$B22</f>
        <v/>
      </c>
      <c r="N23" s="9">
        <f>N22/$B22</f>
        <v/>
      </c>
      <c r="O23" s="9">
        <f>O22/$B22</f>
        <v/>
      </c>
      <c r="P23" s="9">
        <f>P22/$B22</f>
        <v/>
      </c>
      <c r="Q23" s="9">
        <f>Q22/$B22</f>
        <v/>
      </c>
      <c r="R23" s="9">
        <f>R22/$B22</f>
        <v/>
      </c>
      <c r="S23" s="9">
        <f>S22/$B22</f>
        <v/>
      </c>
      <c r="T23" s="9">
        <f>T22/$B22</f>
        <v/>
      </c>
      <c r="U23" s="9">
        <f>U22/$B22</f>
        <v/>
      </c>
      <c r="V23" s="9">
        <f>V22/$B22</f>
        <v/>
      </c>
      <c r="W23" s="9">
        <f>W22/$B22</f>
        <v/>
      </c>
      <c r="X23" s="9">
        <f>X22/$B22</f>
        <v/>
      </c>
      <c r="Y23" s="9">
        <f>Y22/$B22</f>
        <v/>
      </c>
      <c r="Z23" s="9">
        <f>Z22/$B22</f>
        <v/>
      </c>
      <c r="AA23" s="9">
        <f>AA22/$B22</f>
        <v/>
      </c>
      <c r="AB23" s="9">
        <f>AB22/$B22</f>
        <v/>
      </c>
      <c r="AC23" s="9">
        <f>AC22/$B22</f>
        <v/>
      </c>
      <c r="AD23" s="9">
        <f>AD22/$B22</f>
        <v/>
      </c>
      <c r="AE23" s="9">
        <f>AE22/$B22</f>
        <v/>
      </c>
      <c r="AF23" s="9">
        <f>AF22/$B22</f>
        <v/>
      </c>
      <c r="AG23" s="9">
        <f>AG22/$B22</f>
        <v/>
      </c>
      <c r="AH23" s="9">
        <f>AH22/$B22</f>
        <v/>
      </c>
      <c r="AI23" s="9">
        <f>AI22/$B22</f>
        <v/>
      </c>
      <c r="AJ23" s="9">
        <f>AJ22/$B22</f>
        <v/>
      </c>
      <c r="AK23" s="9">
        <f>AK22/$B22</f>
        <v/>
      </c>
      <c r="AL23" s="9">
        <f>AL22/$B22</f>
        <v/>
      </c>
      <c r="AM23" s="9">
        <f>AM22/$B22</f>
        <v/>
      </c>
      <c r="AN23" s="9">
        <f>AN22/$B22</f>
        <v/>
      </c>
      <c r="AO23" s="9">
        <f>AO22/$B22</f>
        <v/>
      </c>
      <c r="AP23" s="9">
        <f>AP22/$B22</f>
        <v/>
      </c>
      <c r="AQ23" s="9">
        <f>AQ22/$B22</f>
        <v/>
      </c>
      <c r="AR23" s="9">
        <f>AR22/$B22</f>
        <v/>
      </c>
      <c r="AS23" s="9">
        <f>AS22/$B22</f>
        <v/>
      </c>
      <c r="AT23" s="9">
        <f>AT22/$B22</f>
        <v/>
      </c>
      <c r="AU23" s="9">
        <f>AU22/$B22</f>
        <v/>
      </c>
    </row>
    <row r="24">
      <c r="B24" s="12">
        <f>B20/B22</f>
        <v/>
      </c>
      <c r="C24" s="12">
        <f>C20/C22</f>
        <v/>
      </c>
      <c r="D24" s="12">
        <f>D20/D22</f>
        <v/>
      </c>
      <c r="E24" s="12">
        <f>E20/E22</f>
        <v/>
      </c>
      <c r="F24" s="12">
        <f>F20/F22</f>
        <v/>
      </c>
      <c r="G24" s="12">
        <f>G20/G22</f>
        <v/>
      </c>
      <c r="H24" s="12">
        <f>H20/H22</f>
        <v/>
      </c>
      <c r="I24" s="12">
        <f>I20/I22</f>
        <v/>
      </c>
      <c r="J24" s="12">
        <f>J20/J22</f>
        <v/>
      </c>
      <c r="K24" s="12">
        <f>K20/K22</f>
        <v/>
      </c>
      <c r="L24" s="12">
        <f>L20/L22</f>
        <v/>
      </c>
      <c r="M24" s="12">
        <f>M20/M22</f>
        <v/>
      </c>
      <c r="N24" s="12">
        <f>N20/N22</f>
        <v/>
      </c>
      <c r="O24" s="12">
        <f>O20/O22</f>
        <v/>
      </c>
      <c r="P24" s="12">
        <f>P20/P22</f>
        <v/>
      </c>
      <c r="Q24" s="12">
        <f>Q20/Q22</f>
        <v/>
      </c>
      <c r="R24" s="12">
        <f>R20/R22</f>
        <v/>
      </c>
      <c r="S24" s="12">
        <f>S20/S22</f>
        <v/>
      </c>
      <c r="T24" s="12">
        <f>T20/T22</f>
        <v/>
      </c>
      <c r="U24" s="12">
        <f>U20/U22</f>
        <v/>
      </c>
      <c r="V24" s="12">
        <f>V20/V22</f>
        <v/>
      </c>
      <c r="W24" s="12">
        <f>W20/W22</f>
        <v/>
      </c>
      <c r="X24" s="12">
        <f>X20/X22</f>
        <v/>
      </c>
      <c r="Y24" s="12">
        <f>Y20/Y22</f>
        <v/>
      </c>
      <c r="Z24" s="12">
        <f>Z20/Z22</f>
        <v/>
      </c>
      <c r="AA24" s="12">
        <f>AA20/AA22</f>
        <v/>
      </c>
      <c r="AB24" s="12">
        <f>AB20/AB22</f>
        <v/>
      </c>
      <c r="AC24" s="12">
        <f>AC20/AC22</f>
        <v/>
      </c>
      <c r="AD24" s="12">
        <f>AD20/AD22</f>
        <v/>
      </c>
      <c r="AE24" s="12">
        <f>AE20/AE22</f>
        <v/>
      </c>
      <c r="AF24" s="12">
        <f>AF20/AF22</f>
        <v/>
      </c>
      <c r="AG24" s="12">
        <f>AG20/AG22</f>
        <v/>
      </c>
      <c r="AH24" s="12">
        <f>AH20/AH22</f>
        <v/>
      </c>
      <c r="AI24" s="12">
        <f>AI20/AI22</f>
        <v/>
      </c>
      <c r="AJ24" s="12">
        <f>AJ20/AJ22</f>
        <v/>
      </c>
      <c r="AK24" s="12">
        <f>AK20/AK22</f>
        <v/>
      </c>
      <c r="AL24" s="12">
        <f>AL20/AL22</f>
        <v/>
      </c>
      <c r="AM24" s="12">
        <f>AM20/AM22</f>
        <v/>
      </c>
      <c r="AN24" s="12">
        <f>AN20/AN22</f>
        <v/>
      </c>
      <c r="AO24" s="12">
        <f>AO20/AO22</f>
        <v/>
      </c>
      <c r="AP24" s="12">
        <f>AP20/AP22</f>
        <v/>
      </c>
      <c r="AQ24" s="12">
        <f>AQ20/AQ22</f>
        <v/>
      </c>
      <c r="AR24" s="12">
        <f>AR20/AR22</f>
        <v/>
      </c>
      <c r="AS24" s="12">
        <f>AS20/AS22</f>
        <v/>
      </c>
      <c r="AT24" s="12">
        <f>AT20/AT22</f>
        <v/>
      </c>
      <c r="AU24" s="12">
        <f>AU20/AU22</f>
        <v/>
      </c>
    </row>
    <row r="27">
      <c r="A27" s="16" t="inlineStr">
        <is>
          <t>Price impact calculation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B28" s="12" t="n"/>
      <c r="C28" s="12" t="n"/>
      <c r="D28" s="12" t="n"/>
      <c r="E28" s="1" t="n"/>
      <c r="F28" s="1" t="n">
        <v>2020</v>
      </c>
      <c r="G28" s="1" t="n">
        <v>2030</v>
      </c>
      <c r="H28" s="1" t="n">
        <v>2040</v>
      </c>
      <c r="I28" s="1" t="n">
        <v>2050</v>
      </c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</row>
    <row r="29">
      <c r="A29" s="1" t="inlineStr">
        <is>
          <t>today's distribution tariff</t>
        </is>
      </c>
      <c r="B29" s="11" t="n">
        <v>53</v>
      </c>
      <c r="C29" s="12" t="inlineStr">
        <is>
          <t>EUR/MWh</t>
        </is>
      </c>
      <c r="D29" s="12" t="n"/>
      <c r="E29" s="12" t="inlineStr">
        <is>
          <t>TWh</t>
        </is>
      </c>
      <c r="F29" s="11" t="n">
        <v>2589.565211</v>
      </c>
      <c r="G29" s="11" t="n">
        <v>2041.080964531893</v>
      </c>
      <c r="H29" s="11" t="n">
        <v>2995.977486350659</v>
      </c>
      <c r="I29" s="11" t="n">
        <v>4629.943959174688</v>
      </c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</row>
    <row r="30">
      <c r="A30" s="1" t="inlineStr">
        <is>
          <t>2020 elec consumption</t>
        </is>
      </c>
      <c r="B30" s="2" t="n">
        <v>2590</v>
      </c>
      <c r="C30" t="inlineStr">
        <is>
          <t>TWh</t>
        </is>
      </c>
      <c r="E30" t="inlineStr">
        <is>
          <t>TWh DSO</t>
        </is>
      </c>
      <c r="F30" s="11">
        <f>F29*$B$31</f>
        <v/>
      </c>
      <c r="G30" s="11" t="n">
        <v>2041.080964531893</v>
      </c>
      <c r="H30" s="11" t="n">
        <v>2995.977486350659</v>
      </c>
      <c r="I30" s="11">
        <f>I29*$B$31</f>
        <v/>
      </c>
    </row>
    <row r="31">
      <c r="A31" s="1" t="inlineStr">
        <is>
          <t>Assumption DSO share consumption</t>
        </is>
      </c>
      <c r="B31" s="2" t="n">
        <v>0.8</v>
      </c>
      <c r="E31" t="inlineStr">
        <is>
          <t>Ratio Consumption</t>
        </is>
      </c>
      <c r="F31" s="21">
        <f>F30/$F30</f>
        <v/>
      </c>
      <c r="G31" s="21">
        <f>G30/$F30</f>
        <v/>
      </c>
      <c r="H31" s="21">
        <f>H30/$F30</f>
        <v/>
      </c>
      <c r="I31" s="21">
        <f>I30/$F30</f>
        <v/>
      </c>
    </row>
    <row r="32">
      <c r="A32" s="1" t="inlineStr">
        <is>
          <t>Estimated DSO revenue</t>
        </is>
      </c>
      <c r="B32" s="14">
        <f>B30*B31*10^6*B29*10^-9</f>
        <v/>
      </c>
      <c r="C32" t="inlineStr">
        <is>
          <t>billion EUR</t>
        </is>
      </c>
      <c r="E32" s="12" t="inlineStr">
        <is>
          <t>Ratio revenue</t>
        </is>
      </c>
      <c r="F32" s="13">
        <f>B23</f>
        <v/>
      </c>
      <c r="G32" s="13">
        <f>L23</f>
        <v/>
      </c>
      <c r="H32" s="13">
        <f>V23</f>
        <v/>
      </c>
      <c r="I32" s="13">
        <f>AF23</f>
        <v/>
      </c>
    </row>
    <row r="33">
      <c r="A33" s="19" t="inlineStr">
        <is>
          <t>Check error against Max Allowable Revenue from revenue model</t>
        </is>
      </c>
      <c r="B33" s="20">
        <f>(B32-B22)/B32</f>
        <v/>
      </c>
      <c r="E33" t="inlineStr">
        <is>
          <t>revenue</t>
        </is>
      </c>
      <c r="F33" s="14">
        <f>B32</f>
        <v/>
      </c>
      <c r="G33" s="14">
        <f>$F33*G32</f>
        <v/>
      </c>
      <c r="H33" s="14">
        <f>$F33*H32</f>
        <v/>
      </c>
      <c r="I33" s="14">
        <f>$F33*I32</f>
        <v/>
      </c>
    </row>
    <row r="34">
      <c r="E34" t="inlineStr">
        <is>
          <t>distribution charges (EUR/MWh)</t>
        </is>
      </c>
      <c r="F34" s="14">
        <f>F33*1000/F30</f>
        <v/>
      </c>
      <c r="G34" s="14">
        <f>G33*1000/G30</f>
        <v/>
      </c>
      <c r="H34" s="14">
        <f>H33*1000/H30</f>
        <v/>
      </c>
      <c r="I34" s="14">
        <f>I33*1000/I30</f>
        <v/>
      </c>
    </row>
    <row r="35">
      <c r="E35" t="inlineStr">
        <is>
          <t>Direct DSO tariff MAR/TWh (EUR/MWh)</t>
        </is>
      </c>
      <c r="F35">
        <f>B22*1000/F30</f>
        <v/>
      </c>
      <c r="G35">
        <f>L22*1000/G30</f>
        <v/>
      </c>
      <c r="H35">
        <f>V22*1000/H30</f>
        <v/>
      </c>
    </row>
    <row r="36">
      <c r="A36" t="inlineStr">
        <is>
          <t>Verbal Input on share of distribution consumption in national total</t>
        </is>
      </c>
      <c r="B36" t="inlineStr">
        <is>
          <t>France</t>
        </is>
      </c>
      <c r="C36" t="inlineStr">
        <is>
          <t>Italy</t>
        </is>
      </c>
      <c r="F36" s="1" t="n">
        <v>2018</v>
      </c>
      <c r="G36" s="1" t="n">
        <v>2030</v>
      </c>
      <c r="H36" s="1" t="n">
        <v>2040</v>
      </c>
      <c r="I36" s="1" t="n">
        <v>2050</v>
      </c>
    </row>
    <row r="37">
      <c r="A37" t="inlineStr">
        <is>
          <t xml:space="preserve">Share of electricity </t>
        </is>
      </c>
      <c r="B37" t="n">
        <v>80</v>
      </c>
      <c r="C37" t="n">
        <v>80</v>
      </c>
    </row>
    <row r="39">
      <c r="A39" t="inlineStr">
        <is>
          <t>Eurostat - T&amp;D tariff</t>
        </is>
      </c>
      <c r="B39" t="n">
        <v>66</v>
      </c>
      <c r="C39" t="n">
        <v>2022</v>
      </c>
      <c r="I39">
        <f>32*3.3</f>
        <v/>
      </c>
    </row>
    <row r="40">
      <c r="I40">
        <f>129+105</f>
        <v/>
      </c>
    </row>
    <row r="41">
      <c r="B41" s="18" t="n"/>
      <c r="I41">
        <f>I40/3.7</f>
        <v/>
      </c>
    </row>
    <row r="45">
      <c r="F45" t="n">
        <v>1.82</v>
      </c>
    </row>
    <row r="46">
      <c r="F46">
        <f>4630/2590</f>
        <v/>
      </c>
    </row>
    <row r="47">
      <c r="F47">
        <f>1.82/1.7876</f>
        <v/>
      </c>
    </row>
    <row r="48">
      <c r="F48">
        <f>54/53</f>
        <v/>
      </c>
    </row>
    <row r="50">
      <c r="A50" t="inlineStr">
        <is>
          <t>PyPSA scenario 50%: 2026-2030 CAPEX = 2030 overnight/5; 2031-2040 CAPEX = 2040 incremental overnight/10 (EUR2015). G30/H30 are DSO HV→LV TWh (no 80% factor). 2020-2025 and 2041+ CAPEX unchanged.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Heinen</dc:creator>
  <dcterms:created xmlns:dcterms="http://purl.org/dc/terms/" xmlns:xsi="http://www.w3.org/2001/XMLSchema-instance" xsi:type="dcterms:W3CDTF">2024-03-25T08:36:56Z</dcterms:created>
  <dcterms:modified xmlns:dcterms="http://purl.org/dc/terms/" xmlns:xsi="http://www.w3.org/2001/XMLSchema-instance" xsi:type="dcterms:W3CDTF">2026-08-18T12:09:47Z</dcterms:modified>
  <cp:lastModifiedBy>Abi Afthab OLIKATHODI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0x01010051043DF050309246BC24501B977C98B400E83CF9A4B325464B9FA5CF466E7AA835</vt:lpwstr>
  </property>
  <property name="MediaServiceImageTags" fmtid="{D5CDD505-2E9C-101B-9397-08002B2CF9AE}" pid="3">
    <vt:lpwstr xmlns:vt="http://schemas.openxmlformats.org/officeDocument/2006/docPropsVTypes"/>
  </property>
</Properties>
</file>