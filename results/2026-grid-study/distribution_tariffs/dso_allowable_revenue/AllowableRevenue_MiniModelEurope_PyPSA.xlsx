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aceccato\work\pypsa-eurelectric\results\2026-grid-study\distribution_tariffs\dso_allowable_revenue\"/>
    </mc:Choice>
  </mc:AlternateContent>
  <xr:revisionPtr revIDLastSave="0" documentId="13_ncr:1_{79335C8C-8772-46B7-9EE3-70FB53230EB9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Inputs_PyPSA" sheetId="1" r:id="rId1"/>
    <sheet name="Mapping" sheetId="2" r:id="rId2"/>
    <sheet name="Sheet1" sheetId="3" r:id="rId3"/>
    <sheet name="Sheet1 (2)" sheetId="4" r:id="rId4"/>
    <sheet name="Original_Sheet1" sheetId="5" r:id="rId5"/>
    <sheet name="PyPSA_Build" sheetId="6" r:id="rId6"/>
    <sheet name="PyPSA_85pct" sheetId="7" r:id="rId7"/>
    <sheet name="PyPSA_75pct" sheetId="8" r:id="rId8"/>
    <sheet name="PyPSA_65pct" sheetId="9" r:id="rId9"/>
    <sheet name="PyPSA_50pc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0" l="1"/>
  <c r="F47" i="10"/>
  <c r="F46" i="10"/>
  <c r="I41" i="10"/>
  <c r="I40" i="10"/>
  <c r="I39" i="10"/>
  <c r="B32" i="10"/>
  <c r="I31" i="10"/>
  <c r="H31" i="10"/>
  <c r="I30" i="10"/>
  <c r="F30" i="10"/>
  <c r="B19" i="10"/>
  <c r="C16" i="10" s="1"/>
  <c r="B18" i="10"/>
  <c r="B16" i="10"/>
  <c r="B20" i="10" s="1"/>
  <c r="B10" i="10"/>
  <c r="F48" i="9"/>
  <c r="F47" i="9"/>
  <c r="F46" i="9"/>
  <c r="I41" i="9"/>
  <c r="I40" i="9"/>
  <c r="I39" i="9"/>
  <c r="B32" i="9"/>
  <c r="I31" i="9"/>
  <c r="G31" i="9"/>
  <c r="I30" i="9"/>
  <c r="F30" i="9"/>
  <c r="H31" i="9" s="1"/>
  <c r="B19" i="9"/>
  <c r="B18" i="9"/>
  <c r="C16" i="9"/>
  <c r="B16" i="9"/>
  <c r="B10" i="9"/>
  <c r="F48" i="8"/>
  <c r="F47" i="8"/>
  <c r="F46" i="8"/>
  <c r="I41" i="8"/>
  <c r="I40" i="8"/>
  <c r="I39" i="8"/>
  <c r="F34" i="8"/>
  <c r="F33" i="8"/>
  <c r="B32" i="8"/>
  <c r="I31" i="8"/>
  <c r="H31" i="8"/>
  <c r="I30" i="8"/>
  <c r="F30" i="8"/>
  <c r="G31" i="8" s="1"/>
  <c r="B19" i="8"/>
  <c r="C16" i="8" s="1"/>
  <c r="B18" i="8"/>
  <c r="B16" i="8"/>
  <c r="B10" i="8"/>
  <c r="F48" i="7"/>
  <c r="F47" i="7"/>
  <c r="F46" i="7"/>
  <c r="I41" i="7"/>
  <c r="I40" i="7"/>
  <c r="I39" i="7"/>
  <c r="F34" i="7"/>
  <c r="F33" i="7"/>
  <c r="B32" i="7"/>
  <c r="I30" i="7"/>
  <c r="F30" i="7"/>
  <c r="B18" i="7"/>
  <c r="B16" i="7"/>
  <c r="B10" i="7"/>
  <c r="F48" i="6"/>
  <c r="F47" i="6"/>
  <c r="F46" i="6"/>
  <c r="I41" i="6"/>
  <c r="I40" i="6"/>
  <c r="I39" i="6"/>
  <c r="F33" i="6"/>
  <c r="B32" i="6"/>
  <c r="I30" i="6"/>
  <c r="F30" i="6"/>
  <c r="B16" i="6"/>
  <c r="B10" i="6"/>
  <c r="F48" i="5"/>
  <c r="F47" i="5"/>
  <c r="F46" i="5"/>
  <c r="I40" i="5"/>
  <c r="I41" i="5" s="1"/>
  <c r="I39" i="5"/>
  <c r="B32" i="5"/>
  <c r="I30" i="5"/>
  <c r="I31" i="5" s="1"/>
  <c r="H30" i="5"/>
  <c r="H31" i="5" s="1"/>
  <c r="G30" i="5"/>
  <c r="G31" i="5" s="1"/>
  <c r="F30" i="5"/>
  <c r="F31" i="5" s="1"/>
  <c r="B16" i="5"/>
  <c r="B10" i="5"/>
  <c r="B18" i="5" s="1"/>
  <c r="F48" i="4"/>
  <c r="F47" i="4"/>
  <c r="F46" i="4"/>
  <c r="I40" i="4"/>
  <c r="I41" i="4" s="1"/>
  <c r="I39" i="4"/>
  <c r="F33" i="4"/>
  <c r="B32" i="4"/>
  <c r="H31" i="4"/>
  <c r="G31" i="4"/>
  <c r="F31" i="4"/>
  <c r="I30" i="4"/>
  <c r="I31" i="4" s="1"/>
  <c r="H30" i="4"/>
  <c r="G30" i="4"/>
  <c r="F30" i="4"/>
  <c r="B16" i="4"/>
  <c r="B10" i="4"/>
  <c r="F48" i="3"/>
  <c r="F47" i="3"/>
  <c r="F46" i="3"/>
  <c r="I41" i="3"/>
  <c r="I40" i="3"/>
  <c r="I39" i="3"/>
  <c r="B32" i="3"/>
  <c r="I30" i="3"/>
  <c r="I31" i="3" s="1"/>
  <c r="H30" i="3"/>
  <c r="H31" i="3" s="1"/>
  <c r="G30" i="3"/>
  <c r="G31" i="3" s="1"/>
  <c r="F30" i="3"/>
  <c r="F31" i="3" s="1"/>
  <c r="B18" i="3"/>
  <c r="B19" i="3" s="1"/>
  <c r="C16" i="3" s="1"/>
  <c r="B16" i="3"/>
  <c r="B10" i="3"/>
  <c r="C18" i="3" l="1"/>
  <c r="C20" i="3" s="1"/>
  <c r="C19" i="3"/>
  <c r="D16" i="3" s="1"/>
  <c r="B19" i="5"/>
  <c r="C16" i="5" s="1"/>
  <c r="B20" i="5"/>
  <c r="H31" i="6"/>
  <c r="G31" i="6"/>
  <c r="F31" i="6"/>
  <c r="F34" i="6"/>
  <c r="F34" i="4"/>
  <c r="C20" i="8"/>
  <c r="B18" i="4"/>
  <c r="B19" i="4"/>
  <c r="C16" i="4" s="1"/>
  <c r="B20" i="4"/>
  <c r="I31" i="6"/>
  <c r="F33" i="5"/>
  <c r="B20" i="3"/>
  <c r="F33" i="3"/>
  <c r="C18" i="9"/>
  <c r="C20" i="9" s="1"/>
  <c r="C18" i="8"/>
  <c r="C19" i="8"/>
  <c r="D16" i="8" s="1"/>
  <c r="F33" i="9"/>
  <c r="B18" i="6"/>
  <c r="B19" i="6" s="1"/>
  <c r="C16" i="6" s="1"/>
  <c r="G31" i="10"/>
  <c r="F31" i="10"/>
  <c r="C20" i="10"/>
  <c r="C18" i="10"/>
  <c r="C19" i="10" s="1"/>
  <c r="D16" i="10" s="1"/>
  <c r="F33" i="10"/>
  <c r="H31" i="7"/>
  <c r="F31" i="7"/>
  <c r="B21" i="10"/>
  <c r="I31" i="7"/>
  <c r="G31" i="7"/>
  <c r="B19" i="7"/>
  <c r="C16" i="7" s="1"/>
  <c r="B20" i="7"/>
  <c r="B20" i="8"/>
  <c r="F31" i="8"/>
  <c r="B20" i="9"/>
  <c r="F31" i="9"/>
  <c r="D18" i="10" l="1"/>
  <c r="D20" i="10" s="1"/>
  <c r="B21" i="9"/>
  <c r="B21" i="8"/>
  <c r="B22" i="8"/>
  <c r="C18" i="4"/>
  <c r="C19" i="4" s="1"/>
  <c r="D16" i="4" s="1"/>
  <c r="C20" i="4"/>
  <c r="B22" i="7"/>
  <c r="B24" i="7" s="1"/>
  <c r="B21" i="7"/>
  <c r="D18" i="8"/>
  <c r="D19" i="8" s="1"/>
  <c r="E16" i="8" s="1"/>
  <c r="D20" i="8"/>
  <c r="F34" i="5"/>
  <c r="B20" i="6"/>
  <c r="T21" i="10"/>
  <c r="S21" i="10"/>
  <c r="R21" i="10"/>
  <c r="Q21" i="10"/>
  <c r="P21" i="10"/>
  <c r="D21" i="10"/>
  <c r="V21" i="10"/>
  <c r="U21" i="10"/>
  <c r="N21" i="10"/>
  <c r="I21" i="10"/>
  <c r="F21" i="10"/>
  <c r="E21" i="10"/>
  <c r="L21" i="10"/>
  <c r="O21" i="10"/>
  <c r="K21" i="10"/>
  <c r="J21" i="10"/>
  <c r="M21" i="10"/>
  <c r="H21" i="10"/>
  <c r="C21" i="10"/>
  <c r="C22" i="10" s="1"/>
  <c r="G21" i="10"/>
  <c r="D18" i="3"/>
  <c r="D20" i="3" s="1"/>
  <c r="B22" i="3"/>
  <c r="B21" i="3"/>
  <c r="F34" i="9"/>
  <c r="C19" i="9"/>
  <c r="D16" i="9" s="1"/>
  <c r="C18" i="5"/>
  <c r="C19" i="5" s="1"/>
  <c r="D16" i="5" s="1"/>
  <c r="C20" i="5"/>
  <c r="F34" i="10"/>
  <c r="B21" i="4"/>
  <c r="B22" i="4" s="1"/>
  <c r="C18" i="6"/>
  <c r="C20" i="6" s="1"/>
  <c r="C19" i="6"/>
  <c r="D16" i="6" s="1"/>
  <c r="C18" i="7"/>
  <c r="C19" i="7" s="1"/>
  <c r="D16" i="7" s="1"/>
  <c r="B21" i="5"/>
  <c r="B22" i="5"/>
  <c r="B22" i="10"/>
  <c r="F34" i="3"/>
  <c r="E18" i="8" l="1"/>
  <c r="E19" i="8" s="1"/>
  <c r="F16" i="8" s="1"/>
  <c r="D18" i="7"/>
  <c r="D20" i="7" s="1"/>
  <c r="B33" i="4"/>
  <c r="B23" i="4"/>
  <c r="F32" i="4" s="1"/>
  <c r="B24" i="4"/>
  <c r="C23" i="10"/>
  <c r="C24" i="10"/>
  <c r="D20" i="4"/>
  <c r="D18" i="4"/>
  <c r="D19" i="4" s="1"/>
  <c r="E16" i="4" s="1"/>
  <c r="D18" i="5"/>
  <c r="D20" i="5" s="1"/>
  <c r="D19" i="5"/>
  <c r="E16" i="5" s="1"/>
  <c r="D22" i="10"/>
  <c r="D23" i="10" s="1"/>
  <c r="B23" i="3"/>
  <c r="F32" i="3" s="1"/>
  <c r="B33" i="3"/>
  <c r="B24" i="3"/>
  <c r="D19" i="3"/>
  <c r="E16" i="3" s="1"/>
  <c r="AO21" i="3"/>
  <c r="U21" i="3"/>
  <c r="AN21" i="3"/>
  <c r="T21" i="3"/>
  <c r="AM21" i="3"/>
  <c r="S21" i="3"/>
  <c r="AE21" i="3"/>
  <c r="H21" i="3"/>
  <c r="AD21" i="3"/>
  <c r="G21" i="3"/>
  <c r="AC21" i="3"/>
  <c r="F21" i="3"/>
  <c r="AB21" i="3"/>
  <c r="E21" i="3"/>
  <c r="AI21" i="3"/>
  <c r="L21" i="3"/>
  <c r="AH21" i="3"/>
  <c r="K21" i="3"/>
  <c r="J21" i="3"/>
  <c r="AG21" i="3"/>
  <c r="O21" i="3"/>
  <c r="AR21" i="3"/>
  <c r="D21" i="3"/>
  <c r="D22" i="3" s="1"/>
  <c r="X21" i="3"/>
  <c r="AU21" i="3"/>
  <c r="N21" i="3"/>
  <c r="AT21" i="3"/>
  <c r="M21" i="3"/>
  <c r="AS21" i="3"/>
  <c r="I21" i="3"/>
  <c r="C21" i="3"/>
  <c r="C22" i="3" s="1"/>
  <c r="AK21" i="3"/>
  <c r="AJ21" i="3"/>
  <c r="AF21" i="3"/>
  <c r="Z21" i="3"/>
  <c r="W21" i="3"/>
  <c r="AA21" i="3"/>
  <c r="Y21" i="3"/>
  <c r="V21" i="3"/>
  <c r="AP21" i="3"/>
  <c r="R21" i="3"/>
  <c r="AQ21" i="3"/>
  <c r="AL21" i="3"/>
  <c r="Q21" i="3"/>
  <c r="P21" i="3"/>
  <c r="D18" i="6"/>
  <c r="D20" i="6" s="1"/>
  <c r="D19" i="6"/>
  <c r="E16" i="6" s="1"/>
  <c r="B23" i="7"/>
  <c r="F32" i="7" s="1"/>
  <c r="B33" i="7"/>
  <c r="F35" i="7"/>
  <c r="F35" i="10"/>
  <c r="B23" i="10"/>
  <c r="F32" i="10" s="1"/>
  <c r="B24" i="10"/>
  <c r="B33" i="10"/>
  <c r="D19" i="10"/>
  <c r="E16" i="10" s="1"/>
  <c r="AS21" i="4"/>
  <c r="Y21" i="4"/>
  <c r="E21" i="4"/>
  <c r="AR21" i="4"/>
  <c r="X21" i="4"/>
  <c r="D21" i="4"/>
  <c r="AQ21" i="4"/>
  <c r="W21" i="4"/>
  <c r="C21" i="4"/>
  <c r="C22" i="4" s="1"/>
  <c r="AU21" i="4"/>
  <c r="U21" i="4"/>
  <c r="AT21" i="4"/>
  <c r="T21" i="4"/>
  <c r="AP21" i="4"/>
  <c r="S21" i="4"/>
  <c r="AO21" i="4"/>
  <c r="R21" i="4"/>
  <c r="V21" i="4"/>
  <c r="Q21" i="4"/>
  <c r="P21" i="4"/>
  <c r="O21" i="4"/>
  <c r="AC21" i="4"/>
  <c r="AB21" i="4"/>
  <c r="AA21" i="4"/>
  <c r="J21" i="4"/>
  <c r="AN21" i="4"/>
  <c r="AD21" i="4"/>
  <c r="Z21" i="4"/>
  <c r="I21" i="4"/>
  <c r="H21" i="4"/>
  <c r="AK21" i="4"/>
  <c r="G21" i="4"/>
  <c r="F21" i="4"/>
  <c r="AM21" i="4"/>
  <c r="AH21" i="4"/>
  <c r="AI21" i="4"/>
  <c r="AG21" i="4"/>
  <c r="AF21" i="4"/>
  <c r="AE21" i="4"/>
  <c r="N21" i="4"/>
  <c r="L21" i="4"/>
  <c r="AL21" i="4"/>
  <c r="M21" i="4"/>
  <c r="K21" i="4"/>
  <c r="AJ21" i="4"/>
  <c r="B23" i="8"/>
  <c r="F32" i="8" s="1"/>
  <c r="F35" i="8"/>
  <c r="B33" i="8"/>
  <c r="B24" i="8"/>
  <c r="B21" i="6"/>
  <c r="B23" i="5"/>
  <c r="F32" i="5" s="1"/>
  <c r="B33" i="5"/>
  <c r="B24" i="5"/>
  <c r="R21" i="9"/>
  <c r="Q21" i="9"/>
  <c r="P21" i="9"/>
  <c r="O21" i="9"/>
  <c r="N21" i="9"/>
  <c r="E21" i="9"/>
  <c r="C21" i="9"/>
  <c r="C22" i="9" s="1"/>
  <c r="V21" i="9"/>
  <c r="T21" i="9"/>
  <c r="J21" i="9"/>
  <c r="I21" i="9"/>
  <c r="H21" i="9"/>
  <c r="S21" i="9"/>
  <c r="M21" i="9"/>
  <c r="U21" i="9"/>
  <c r="L21" i="9"/>
  <c r="K21" i="9"/>
  <c r="G21" i="9"/>
  <c r="F21" i="9"/>
  <c r="D21" i="9"/>
  <c r="D18" i="9"/>
  <c r="D20" i="9" s="1"/>
  <c r="D19" i="9"/>
  <c r="E16" i="9" s="1"/>
  <c r="C20" i="7"/>
  <c r="P21" i="8"/>
  <c r="O21" i="8"/>
  <c r="N21" i="8"/>
  <c r="M21" i="8"/>
  <c r="L21" i="8"/>
  <c r="I21" i="8"/>
  <c r="E21" i="8"/>
  <c r="D21" i="8"/>
  <c r="D22" i="8" s="1"/>
  <c r="C21" i="8"/>
  <c r="C22" i="8" s="1"/>
  <c r="Q21" i="8"/>
  <c r="K21" i="8"/>
  <c r="J21" i="8"/>
  <c r="U21" i="8"/>
  <c r="T21" i="8"/>
  <c r="V21" i="8"/>
  <c r="S21" i="8"/>
  <c r="R21" i="8"/>
  <c r="H21" i="8"/>
  <c r="G21" i="8"/>
  <c r="F21" i="8"/>
  <c r="C24" i="5"/>
  <c r="C22" i="5"/>
  <c r="C23" i="5" s="1"/>
  <c r="B22" i="9"/>
  <c r="AG21" i="5"/>
  <c r="M21" i="5"/>
  <c r="AF21" i="5"/>
  <c r="L21" i="5"/>
  <c r="AD21" i="5"/>
  <c r="J21" i="5"/>
  <c r="AI21" i="5"/>
  <c r="I21" i="5"/>
  <c r="AH21" i="5"/>
  <c r="H21" i="5"/>
  <c r="AE21" i="5"/>
  <c r="G21" i="5"/>
  <c r="AB21" i="5"/>
  <c r="AA21" i="5"/>
  <c r="Z21" i="5"/>
  <c r="Y21" i="5"/>
  <c r="AL21" i="5"/>
  <c r="F21" i="5"/>
  <c r="AQ21" i="5"/>
  <c r="E21" i="5"/>
  <c r="AP21" i="5"/>
  <c r="D21" i="5"/>
  <c r="AO21" i="5"/>
  <c r="C21" i="5"/>
  <c r="AN21" i="5"/>
  <c r="AU21" i="5"/>
  <c r="P21" i="5"/>
  <c r="AT21" i="5"/>
  <c r="O21" i="5"/>
  <c r="AS21" i="5"/>
  <c r="N21" i="5"/>
  <c r="R21" i="5"/>
  <c r="W21" i="5"/>
  <c r="Q21" i="5"/>
  <c r="K21" i="5"/>
  <c r="AM21" i="5"/>
  <c r="AR21" i="5"/>
  <c r="AK21" i="5"/>
  <c r="AJ21" i="5"/>
  <c r="AC21" i="5"/>
  <c r="V21" i="5"/>
  <c r="U21" i="5"/>
  <c r="T21" i="5"/>
  <c r="S21" i="5"/>
  <c r="X21" i="5"/>
  <c r="N21" i="7"/>
  <c r="M21" i="7"/>
  <c r="L21" i="7"/>
  <c r="K21" i="7"/>
  <c r="J21" i="7"/>
  <c r="H21" i="7"/>
  <c r="G21" i="7"/>
  <c r="F21" i="7"/>
  <c r="E21" i="7"/>
  <c r="C21" i="7"/>
  <c r="R21" i="7"/>
  <c r="Q21" i="7"/>
  <c r="P21" i="7"/>
  <c r="S21" i="7"/>
  <c r="O21" i="7"/>
  <c r="I21" i="7"/>
  <c r="D21" i="7"/>
  <c r="V21" i="7"/>
  <c r="U21" i="7"/>
  <c r="T21" i="7"/>
  <c r="D23" i="3" l="1"/>
  <c r="D24" i="3"/>
  <c r="C23" i="4"/>
  <c r="C24" i="4"/>
  <c r="D22" i="5"/>
  <c r="D23" i="5" s="1"/>
  <c r="D23" i="8"/>
  <c r="D24" i="8"/>
  <c r="D22" i="7"/>
  <c r="D23" i="7" s="1"/>
  <c r="D24" i="7"/>
  <c r="D22" i="9"/>
  <c r="D23" i="9" s="1"/>
  <c r="D24" i="9"/>
  <c r="E18" i="4"/>
  <c r="E20" i="4" s="1"/>
  <c r="E19" i="4"/>
  <c r="F16" i="4" s="1"/>
  <c r="D22" i="6"/>
  <c r="D23" i="6" s="1"/>
  <c r="F19" i="8"/>
  <c r="G16" i="8" s="1"/>
  <c r="F18" i="8"/>
  <c r="F20" i="8"/>
  <c r="J21" i="6"/>
  <c r="Q21" i="6"/>
  <c r="P21" i="6"/>
  <c r="O21" i="6"/>
  <c r="N21" i="6"/>
  <c r="G21" i="6"/>
  <c r="F21" i="6"/>
  <c r="E21" i="6"/>
  <c r="L21" i="6"/>
  <c r="K21" i="6"/>
  <c r="I21" i="6"/>
  <c r="H21" i="6"/>
  <c r="C21" i="6"/>
  <c r="C22" i="6" s="1"/>
  <c r="T21" i="6"/>
  <c r="S21" i="6"/>
  <c r="U21" i="6"/>
  <c r="R21" i="6"/>
  <c r="M21" i="6"/>
  <c r="D21" i="6"/>
  <c r="V21" i="6"/>
  <c r="D19" i="7"/>
  <c r="E16" i="7" s="1"/>
  <c r="E18" i="5"/>
  <c r="E20" i="5"/>
  <c r="E19" i="5"/>
  <c r="F16" i="5" s="1"/>
  <c r="B23" i="9"/>
  <c r="F32" i="9" s="1"/>
  <c r="F35" i="9"/>
  <c r="B33" i="9"/>
  <c r="B24" i="9"/>
  <c r="C23" i="3"/>
  <c r="C24" i="3"/>
  <c r="C23" i="8"/>
  <c r="C24" i="8"/>
  <c r="E20" i="8"/>
  <c r="E19" i="6"/>
  <c r="F16" i="6" s="1"/>
  <c r="E20" i="6"/>
  <c r="E18" i="6"/>
  <c r="C22" i="7"/>
  <c r="C23" i="7" s="1"/>
  <c r="D24" i="10"/>
  <c r="D22" i="4"/>
  <c r="D23" i="4" s="1"/>
  <c r="D24" i="4"/>
  <c r="C23" i="9"/>
  <c r="C24" i="9"/>
  <c r="E18" i="9"/>
  <c r="E19" i="9" s="1"/>
  <c r="F16" i="9" s="1"/>
  <c r="E20" i="9"/>
  <c r="E18" i="3"/>
  <c r="E20" i="3" s="1"/>
  <c r="E19" i="3"/>
  <c r="F16" i="3" s="1"/>
  <c r="E18" i="10"/>
  <c r="E20" i="10" s="1"/>
  <c r="B22" i="6"/>
  <c r="E22" i="10" l="1"/>
  <c r="E23" i="10" s="1"/>
  <c r="E22" i="4"/>
  <c r="E23" i="4" s="1"/>
  <c r="E22" i="3"/>
  <c r="E23" i="3" s="1"/>
  <c r="E24" i="3"/>
  <c r="F18" i="9"/>
  <c r="F19" i="9" s="1"/>
  <c r="G16" i="9" s="1"/>
  <c r="F20" i="9"/>
  <c r="C23" i="6"/>
  <c r="C24" i="6"/>
  <c r="E22" i="6"/>
  <c r="E23" i="6" s="1"/>
  <c r="F20" i="6"/>
  <c r="F18" i="6"/>
  <c r="F19" i="6" s="1"/>
  <c r="G16" i="6" s="1"/>
  <c r="E22" i="5"/>
  <c r="E23" i="5" s="1"/>
  <c r="E24" i="5"/>
  <c r="B23" i="6"/>
  <c r="F32" i="6" s="1"/>
  <c r="B33" i="6"/>
  <c r="F35" i="6"/>
  <c r="B24" i="6"/>
  <c r="G18" i="8"/>
  <c r="G19" i="8" s="1"/>
  <c r="H16" i="8" s="1"/>
  <c r="G20" i="8"/>
  <c r="F18" i="4"/>
  <c r="F19" i="4" s="1"/>
  <c r="G16" i="4" s="1"/>
  <c r="E22" i="9"/>
  <c r="E23" i="9" s="1"/>
  <c r="E24" i="9"/>
  <c r="F22" i="8"/>
  <c r="F23" i="8" s="1"/>
  <c r="F24" i="8"/>
  <c r="E22" i="8"/>
  <c r="E23" i="8" s="1"/>
  <c r="E24" i="8"/>
  <c r="E19" i="10"/>
  <c r="F16" i="10" s="1"/>
  <c r="D24" i="6"/>
  <c r="E19" i="7"/>
  <c r="F16" i="7" s="1"/>
  <c r="E18" i="7"/>
  <c r="E20" i="7"/>
  <c r="F18" i="5"/>
  <c r="F20" i="5" s="1"/>
  <c r="D24" i="5"/>
  <c r="F18" i="3"/>
  <c r="F20" i="3" s="1"/>
  <c r="C24" i="7"/>
  <c r="G18" i="4" l="1"/>
  <c r="G20" i="4" s="1"/>
  <c r="F22" i="3"/>
  <c r="F23" i="3" s="1"/>
  <c r="F24" i="3"/>
  <c r="F22" i="5"/>
  <c r="F23" i="5" s="1"/>
  <c r="F24" i="5"/>
  <c r="H18" i="8"/>
  <c r="H19" i="8" s="1"/>
  <c r="I16" i="8" s="1"/>
  <c r="G18" i="6"/>
  <c r="G19" i="6" s="1"/>
  <c r="H16" i="6" s="1"/>
  <c r="G18" i="9"/>
  <c r="G19" i="9" s="1"/>
  <c r="H16" i="9" s="1"/>
  <c r="F18" i="7"/>
  <c r="F19" i="7" s="1"/>
  <c r="G16" i="7" s="1"/>
  <c r="F20" i="10"/>
  <c r="F18" i="10"/>
  <c r="F19" i="10" s="1"/>
  <c r="G16" i="10" s="1"/>
  <c r="F22" i="9"/>
  <c r="F23" i="9" s="1"/>
  <c r="E22" i="7"/>
  <c r="E23" i="7" s="1"/>
  <c r="E24" i="7"/>
  <c r="F20" i="4"/>
  <c r="E24" i="6"/>
  <c r="F19" i="3"/>
  <c r="G16" i="3" s="1"/>
  <c r="F22" i="6"/>
  <c r="F23" i="6" s="1"/>
  <c r="G22" i="8"/>
  <c r="G23" i="8" s="1"/>
  <c r="E24" i="4"/>
  <c r="F19" i="5"/>
  <c r="G16" i="5" s="1"/>
  <c r="E24" i="10"/>
  <c r="G18" i="7" l="1"/>
  <c r="G20" i="7" s="1"/>
  <c r="G19" i="7"/>
  <c r="H16" i="7" s="1"/>
  <c r="H18" i="6"/>
  <c r="H19" i="6" s="1"/>
  <c r="I16" i="6" s="1"/>
  <c r="H20" i="6"/>
  <c r="G18" i="10"/>
  <c r="G20" i="10" s="1"/>
  <c r="G19" i="10"/>
  <c r="H16" i="10" s="1"/>
  <c r="H18" i="9"/>
  <c r="H19" i="9" s="1"/>
  <c r="I16" i="9" s="1"/>
  <c r="I18" i="8"/>
  <c r="I19" i="8"/>
  <c r="J16" i="8" s="1"/>
  <c r="I20" i="8"/>
  <c r="G24" i="4"/>
  <c r="G22" i="4"/>
  <c r="G23" i="4" s="1"/>
  <c r="G20" i="9"/>
  <c r="H20" i="8"/>
  <c r="G20" i="6"/>
  <c r="F24" i="6"/>
  <c r="F22" i="4"/>
  <c r="F23" i="4" s="1"/>
  <c r="F24" i="9"/>
  <c r="F20" i="7"/>
  <c r="G20" i="5"/>
  <c r="G18" i="5"/>
  <c r="G19" i="5" s="1"/>
  <c r="H16" i="5" s="1"/>
  <c r="G18" i="3"/>
  <c r="G19" i="3" s="1"/>
  <c r="H16" i="3" s="1"/>
  <c r="G19" i="4"/>
  <c r="H16" i="4" s="1"/>
  <c r="F22" i="10"/>
  <c r="F23" i="10" s="1"/>
  <c r="F24" i="10"/>
  <c r="G24" i="8"/>
  <c r="I18" i="9" l="1"/>
  <c r="I19" i="9" s="1"/>
  <c r="J16" i="9" s="1"/>
  <c r="H18" i="3"/>
  <c r="H20" i="3" s="1"/>
  <c r="G22" i="10"/>
  <c r="G23" i="10" s="1"/>
  <c r="I18" i="6"/>
  <c r="I20" i="6" s="1"/>
  <c r="I19" i="6"/>
  <c r="J16" i="6" s="1"/>
  <c r="H18" i="5"/>
  <c r="H20" i="5" s="1"/>
  <c r="G22" i="7"/>
  <c r="G23" i="7" s="1"/>
  <c r="H22" i="8"/>
  <c r="H23" i="8" s="1"/>
  <c r="G22" i="9"/>
  <c r="G23" i="9" s="1"/>
  <c r="G24" i="9"/>
  <c r="G22" i="6"/>
  <c r="G23" i="6" s="1"/>
  <c r="I22" i="8"/>
  <c r="I23" i="8" s="1"/>
  <c r="G20" i="3"/>
  <c r="J18" i="8"/>
  <c r="J19" i="8"/>
  <c r="K16" i="8" s="1"/>
  <c r="J20" i="8"/>
  <c r="G22" i="5"/>
  <c r="G23" i="5" s="1"/>
  <c r="H22" i="6"/>
  <c r="H23" i="6" s="1"/>
  <c r="H18" i="7"/>
  <c r="H20" i="7"/>
  <c r="H19" i="7"/>
  <c r="I16" i="7" s="1"/>
  <c r="H18" i="4"/>
  <c r="H19" i="4" s="1"/>
  <c r="I16" i="4" s="1"/>
  <c r="H18" i="10"/>
  <c r="H20" i="10" s="1"/>
  <c r="F24" i="4"/>
  <c r="H20" i="9"/>
  <c r="F22" i="7"/>
  <c r="F23" i="7" s="1"/>
  <c r="H22" i="3" l="1"/>
  <c r="H23" i="3" s="1"/>
  <c r="H24" i="3"/>
  <c r="H22" i="5"/>
  <c r="H23" i="5" s="1"/>
  <c r="I22" i="6"/>
  <c r="I23" i="6" s="1"/>
  <c r="I24" i="6"/>
  <c r="H22" i="10"/>
  <c r="H23" i="10" s="1"/>
  <c r="I18" i="4"/>
  <c r="I20" i="4" s="1"/>
  <c r="J19" i="9"/>
  <c r="K16" i="9" s="1"/>
  <c r="J20" i="9"/>
  <c r="J18" i="9"/>
  <c r="H24" i="8"/>
  <c r="H19" i="10"/>
  <c r="I16" i="10" s="1"/>
  <c r="G24" i="10"/>
  <c r="H24" i="6"/>
  <c r="G24" i="5"/>
  <c r="J22" i="8"/>
  <c r="J23" i="8" s="1"/>
  <c r="K18" i="8"/>
  <c r="K19" i="8" s="1"/>
  <c r="L16" i="8" s="1"/>
  <c r="H20" i="4"/>
  <c r="I18" i="7"/>
  <c r="I19" i="7" s="1"/>
  <c r="J16" i="7" s="1"/>
  <c r="I20" i="7"/>
  <c r="H22" i="7"/>
  <c r="H23" i="7" s="1"/>
  <c r="H19" i="5"/>
  <c r="I16" i="5" s="1"/>
  <c r="I20" i="9"/>
  <c r="G24" i="7"/>
  <c r="J18" i="6"/>
  <c r="J20" i="6" s="1"/>
  <c r="F24" i="7"/>
  <c r="G22" i="3"/>
  <c r="G23" i="3" s="1"/>
  <c r="G24" i="3"/>
  <c r="H19" i="3"/>
  <c r="I16" i="3" s="1"/>
  <c r="I24" i="8"/>
  <c r="H22" i="9"/>
  <c r="H23" i="9" s="1"/>
  <c r="H24" i="9"/>
  <c r="G24" i="6"/>
  <c r="L18" i="8" l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L20" i="8"/>
  <c r="L19" i="8"/>
  <c r="M16" i="8" s="1"/>
  <c r="J18" i="7"/>
  <c r="J20" i="7"/>
  <c r="J19" i="7"/>
  <c r="K16" i="7" s="1"/>
  <c r="I22" i="4"/>
  <c r="I23" i="4" s="1"/>
  <c r="J22" i="6"/>
  <c r="J23" i="6" s="1"/>
  <c r="I22" i="9"/>
  <c r="I23" i="9" s="1"/>
  <c r="I24" i="9"/>
  <c r="H24" i="7"/>
  <c r="I19" i="4"/>
  <c r="J16" i="4" s="1"/>
  <c r="J19" i="6"/>
  <c r="K16" i="6" s="1"/>
  <c r="I24" i="7"/>
  <c r="I22" i="7"/>
  <c r="I23" i="7" s="1"/>
  <c r="I19" i="10"/>
  <c r="J16" i="10" s="1"/>
  <c r="I20" i="10"/>
  <c r="I18" i="10"/>
  <c r="K18" i="9"/>
  <c r="K19" i="9" s="1"/>
  <c r="L16" i="9" s="1"/>
  <c r="H22" i="4"/>
  <c r="H23" i="4" s="1"/>
  <c r="H24" i="5"/>
  <c r="J22" i="9"/>
  <c r="J23" i="9" s="1"/>
  <c r="J24" i="9"/>
  <c r="H24" i="10"/>
  <c r="I18" i="3"/>
  <c r="I19" i="3" s="1"/>
  <c r="J16" i="3" s="1"/>
  <c r="I20" i="3"/>
  <c r="I18" i="5"/>
  <c r="I20" i="5" s="1"/>
  <c r="K20" i="8"/>
  <c r="J24" i="8"/>
  <c r="L18" i="9" l="1"/>
  <c r="M18" i="9" s="1"/>
  <c r="N18" i="9" s="1"/>
  <c r="O18" i="9" s="1"/>
  <c r="P18" i="9" s="1"/>
  <c r="Q18" i="9" s="1"/>
  <c r="R18" i="9" s="1"/>
  <c r="S18" i="9" s="1"/>
  <c r="T18" i="9" s="1"/>
  <c r="U18" i="9" s="1"/>
  <c r="V18" i="9" s="1"/>
  <c r="L19" i="9"/>
  <c r="M16" i="9" s="1"/>
  <c r="L20" i="9"/>
  <c r="I22" i="5"/>
  <c r="I23" i="5" s="1"/>
  <c r="J18" i="3"/>
  <c r="J20" i="3" s="1"/>
  <c r="J19" i="3"/>
  <c r="K16" i="3" s="1"/>
  <c r="I22" i="10"/>
  <c r="I23" i="10" s="1"/>
  <c r="I24" i="10"/>
  <c r="J18" i="10"/>
  <c r="J19" i="10" s="1"/>
  <c r="K16" i="10" s="1"/>
  <c r="J19" i="4"/>
  <c r="K16" i="4" s="1"/>
  <c r="J18" i="4"/>
  <c r="J20" i="4" s="1"/>
  <c r="I22" i="3"/>
  <c r="I23" i="3" s="1"/>
  <c r="J24" i="6"/>
  <c r="H24" i="4"/>
  <c r="I19" i="5"/>
  <c r="J16" i="5" s="1"/>
  <c r="K18" i="7"/>
  <c r="K20" i="7"/>
  <c r="K19" i="7"/>
  <c r="L16" i="7" s="1"/>
  <c r="M19" i="8"/>
  <c r="N16" i="8" s="1"/>
  <c r="M20" i="8"/>
  <c r="K22" i="8"/>
  <c r="K23" i="8" s="1"/>
  <c r="K18" i="6"/>
  <c r="K20" i="6" s="1"/>
  <c r="K19" i="6"/>
  <c r="L16" i="6" s="1"/>
  <c r="J22" i="7"/>
  <c r="J23" i="7" s="1"/>
  <c r="J24" i="7"/>
  <c r="K20" i="9"/>
  <c r="L22" i="8"/>
  <c r="L24" i="8"/>
  <c r="I24" i="4"/>
  <c r="J22" i="4" l="1"/>
  <c r="J23" i="4" s="1"/>
  <c r="J24" i="4"/>
  <c r="K18" i="10"/>
  <c r="K19" i="10" s="1"/>
  <c r="L16" i="10" s="1"/>
  <c r="J24" i="3"/>
  <c r="J22" i="3"/>
  <c r="J23" i="3" s="1"/>
  <c r="K22" i="6"/>
  <c r="K23" i="6" s="1"/>
  <c r="I24" i="3"/>
  <c r="K22" i="9"/>
  <c r="K23" i="9" s="1"/>
  <c r="K24" i="9"/>
  <c r="L18" i="6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L19" i="6"/>
  <c r="M16" i="6" s="1"/>
  <c r="L20" i="6"/>
  <c r="K24" i="8"/>
  <c r="M22" i="8"/>
  <c r="M23" i="8" s="1"/>
  <c r="K22" i="7"/>
  <c r="K23" i="7" s="1"/>
  <c r="K24" i="7"/>
  <c r="L22" i="9"/>
  <c r="L24" i="9"/>
  <c r="L23" i="8"/>
  <c r="G32" i="8" s="1"/>
  <c r="G33" i="8" s="1"/>
  <c r="G34" i="8" s="1"/>
  <c r="G35" i="8"/>
  <c r="N19" i="8"/>
  <c r="O16" i="8" s="1"/>
  <c r="N20" i="8"/>
  <c r="I24" i="5"/>
  <c r="L18" i="7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L20" i="7"/>
  <c r="L19" i="7"/>
  <c r="M16" i="7" s="1"/>
  <c r="M19" i="9"/>
  <c r="N16" i="9" s="1"/>
  <c r="M20" i="9"/>
  <c r="K18" i="4"/>
  <c r="K20" i="4" s="1"/>
  <c r="K19" i="4"/>
  <c r="L16" i="4" s="1"/>
  <c r="J20" i="10"/>
  <c r="K18" i="3"/>
  <c r="K19" i="3" s="1"/>
  <c r="L16" i="3" s="1"/>
  <c r="K20" i="3"/>
  <c r="J19" i="5"/>
  <c r="K16" i="5" s="1"/>
  <c r="J18" i="5"/>
  <c r="J20" i="5" s="1"/>
  <c r="L18" i="3" l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L20" i="3"/>
  <c r="L19" i="3"/>
  <c r="M16" i="3" s="1"/>
  <c r="J22" i="5"/>
  <c r="J23" i="5" s="1"/>
  <c r="J24" i="5"/>
  <c r="K24" i="4"/>
  <c r="K22" i="4"/>
  <c r="K23" i="4" s="1"/>
  <c r="L19" i="10"/>
  <c r="M16" i="10" s="1"/>
  <c r="L18" i="10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K22" i="3"/>
  <c r="K23" i="3" s="1"/>
  <c r="M24" i="8"/>
  <c r="K20" i="5"/>
  <c r="K18" i="5"/>
  <c r="K19" i="5"/>
  <c r="L16" i="5" s="1"/>
  <c r="L18" i="4"/>
  <c r="L20" i="4"/>
  <c r="L19" i="4"/>
  <c r="M16" i="4" s="1"/>
  <c r="J22" i="10"/>
  <c r="J23" i="10" s="1"/>
  <c r="N20" i="9"/>
  <c r="N19" i="9"/>
  <c r="O16" i="9" s="1"/>
  <c r="M19" i="6"/>
  <c r="N16" i="6" s="1"/>
  <c r="M20" i="6"/>
  <c r="M22" i="9"/>
  <c r="M23" i="9" s="1"/>
  <c r="M24" i="9"/>
  <c r="M20" i="7"/>
  <c r="M19" i="7"/>
  <c r="N16" i="7" s="1"/>
  <c r="L22" i="7"/>
  <c r="L22" i="6"/>
  <c r="K24" i="6"/>
  <c r="N22" i="8"/>
  <c r="N23" i="8" s="1"/>
  <c r="O19" i="8"/>
  <c r="P16" i="8" s="1"/>
  <c r="O20" i="8"/>
  <c r="K20" i="10"/>
  <c r="L23" i="9"/>
  <c r="G32" i="9" s="1"/>
  <c r="G33" i="9" s="1"/>
  <c r="G34" i="9" s="1"/>
  <c r="G35" i="9"/>
  <c r="M18" i="4" l="1"/>
  <c r="M20" i="4"/>
  <c r="M19" i="4"/>
  <c r="N16" i="4" s="1"/>
  <c r="L22" i="4"/>
  <c r="L23" i="4" s="1"/>
  <c r="G32" i="4" s="1"/>
  <c r="G33" i="4" s="1"/>
  <c r="G34" i="4" s="1"/>
  <c r="G35" i="6"/>
  <c r="L23" i="6"/>
  <c r="G32" i="6" s="1"/>
  <c r="G33" i="6" s="1"/>
  <c r="G34" i="6" s="1"/>
  <c r="K22" i="10"/>
  <c r="K23" i="10" s="1"/>
  <c r="K24" i="10"/>
  <c r="N24" i="8"/>
  <c r="L23" i="7"/>
  <c r="G32" i="7" s="1"/>
  <c r="G33" i="7" s="1"/>
  <c r="G34" i="7" s="1"/>
  <c r="G35" i="7"/>
  <c r="K24" i="3"/>
  <c r="L24" i="7"/>
  <c r="M22" i="7"/>
  <c r="M23" i="7" s="1"/>
  <c r="N19" i="6"/>
  <c r="O16" i="6" s="1"/>
  <c r="N20" i="6"/>
  <c r="P19" i="8"/>
  <c r="Q16" i="8" s="1"/>
  <c r="P20" i="8"/>
  <c r="L18" i="5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L19" i="5"/>
  <c r="M16" i="5" s="1"/>
  <c r="L24" i="6"/>
  <c r="M20" i="10"/>
  <c r="M19" i="10"/>
  <c r="N16" i="10" s="1"/>
  <c r="M19" i="3"/>
  <c r="N16" i="3" s="1"/>
  <c r="M20" i="3"/>
  <c r="O22" i="8"/>
  <c r="O23" i="8" s="1"/>
  <c r="N19" i="7"/>
  <c r="O16" i="7" s="1"/>
  <c r="N20" i="7"/>
  <c r="M22" i="6"/>
  <c r="M23" i="6" s="1"/>
  <c r="O19" i="9"/>
  <c r="P16" i="9" s="1"/>
  <c r="O20" i="9"/>
  <c r="N22" i="9"/>
  <c r="N23" i="9" s="1"/>
  <c r="N24" i="9"/>
  <c r="L22" i="3"/>
  <c r="L23" i="3" s="1"/>
  <c r="G32" i="3" s="1"/>
  <c r="G33" i="3" s="1"/>
  <c r="G34" i="3" s="1"/>
  <c r="K22" i="5"/>
  <c r="K23" i="5" s="1"/>
  <c r="K24" i="5"/>
  <c r="L20" i="10"/>
  <c r="J24" i="10"/>
  <c r="L24" i="3" l="1"/>
  <c r="Q19" i="8"/>
  <c r="R16" i="8" s="1"/>
  <c r="Q20" i="8"/>
  <c r="N22" i="6"/>
  <c r="N23" i="6" s="1"/>
  <c r="O19" i="6"/>
  <c r="P16" i="6" s="1"/>
  <c r="O20" i="6"/>
  <c r="M24" i="7"/>
  <c r="O24" i="9"/>
  <c r="O22" i="9"/>
  <c r="O23" i="9" s="1"/>
  <c r="O19" i="7"/>
  <c r="P16" i="7" s="1"/>
  <c r="O20" i="7"/>
  <c r="O24" i="8"/>
  <c r="N19" i="10"/>
  <c r="O16" i="10" s="1"/>
  <c r="N20" i="10"/>
  <c r="L24" i="4"/>
  <c r="N22" i="7"/>
  <c r="N23" i="7" s="1"/>
  <c r="M22" i="3"/>
  <c r="M23" i="3" s="1"/>
  <c r="M24" i="3"/>
  <c r="M20" i="5"/>
  <c r="M19" i="5"/>
  <c r="N16" i="5" s="1"/>
  <c r="N18" i="4"/>
  <c r="N20" i="4"/>
  <c r="N19" i="4"/>
  <c r="O16" i="4" s="1"/>
  <c r="P22" i="8"/>
  <c r="P23" i="8" s="1"/>
  <c r="M22" i="10"/>
  <c r="M23" i="10" s="1"/>
  <c r="M24" i="10"/>
  <c r="L22" i="10"/>
  <c r="L24" i="10"/>
  <c r="M22" i="4"/>
  <c r="M23" i="4" s="1"/>
  <c r="P20" i="9"/>
  <c r="P19" i="9"/>
  <c r="Q16" i="9" s="1"/>
  <c r="M24" i="6"/>
  <c r="N19" i="3"/>
  <c r="O16" i="3" s="1"/>
  <c r="N20" i="3"/>
  <c r="L20" i="5"/>
  <c r="L22" i="5" l="1"/>
  <c r="L23" i="5" s="1"/>
  <c r="G32" i="5" s="1"/>
  <c r="G33" i="5" s="1"/>
  <c r="G34" i="5" s="1"/>
  <c r="N22" i="3"/>
  <c r="N23" i="3" s="1"/>
  <c r="N24" i="3"/>
  <c r="O19" i="3"/>
  <c r="P16" i="3" s="1"/>
  <c r="O20" i="3"/>
  <c r="N24" i="7"/>
  <c r="N22" i="10"/>
  <c r="N23" i="10" s="1"/>
  <c r="N24" i="10"/>
  <c r="P20" i="7"/>
  <c r="P19" i="7"/>
  <c r="Q16" i="7" s="1"/>
  <c r="L23" i="10"/>
  <c r="G32" i="10" s="1"/>
  <c r="G33" i="10" s="1"/>
  <c r="G34" i="10" s="1"/>
  <c r="G35" i="10"/>
  <c r="N24" i="6"/>
  <c r="P19" i="6"/>
  <c r="Q16" i="6" s="1"/>
  <c r="P20" i="6"/>
  <c r="O20" i="10"/>
  <c r="O19" i="10"/>
  <c r="P16" i="10" s="1"/>
  <c r="O24" i="7"/>
  <c r="O22" i="7"/>
  <c r="O23" i="7" s="1"/>
  <c r="O22" i="6"/>
  <c r="O23" i="6" s="1"/>
  <c r="O24" i="6"/>
  <c r="O18" i="4"/>
  <c r="O19" i="4" s="1"/>
  <c r="P16" i="4" s="1"/>
  <c r="O20" i="4"/>
  <c r="N20" i="5"/>
  <c r="N19" i="5"/>
  <c r="O16" i="5" s="1"/>
  <c r="R20" i="8"/>
  <c r="R19" i="8"/>
  <c r="S16" i="8" s="1"/>
  <c r="Q19" i="9"/>
  <c r="R16" i="9" s="1"/>
  <c r="Q20" i="9"/>
  <c r="P22" i="9"/>
  <c r="P23" i="9" s="1"/>
  <c r="M24" i="4"/>
  <c r="P24" i="8"/>
  <c r="N22" i="4"/>
  <c r="N23" i="4" s="1"/>
  <c r="Q22" i="8"/>
  <c r="Q23" i="8" s="1"/>
  <c r="M24" i="5"/>
  <c r="M22" i="5"/>
  <c r="M23" i="5" s="1"/>
  <c r="P18" i="4" l="1"/>
  <c r="P19" i="4" s="1"/>
  <c r="Q16" i="4" s="1"/>
  <c r="P20" i="4"/>
  <c r="P19" i="10"/>
  <c r="Q16" i="10" s="1"/>
  <c r="P20" i="10"/>
  <c r="O22" i="10"/>
  <c r="O23" i="10" s="1"/>
  <c r="P22" i="6"/>
  <c r="P23" i="6" s="1"/>
  <c r="P24" i="6"/>
  <c r="R19" i="9"/>
  <c r="S16" i="9" s="1"/>
  <c r="R20" i="9"/>
  <c r="P24" i="7"/>
  <c r="P22" i="7"/>
  <c r="P23" i="7" s="1"/>
  <c r="P24" i="9"/>
  <c r="Q20" i="7"/>
  <c r="Q19" i="7"/>
  <c r="R16" i="7" s="1"/>
  <c r="S20" i="8"/>
  <c r="S19" i="8"/>
  <c r="T16" i="8" s="1"/>
  <c r="N22" i="5"/>
  <c r="N23" i="5" s="1"/>
  <c r="O22" i="3"/>
  <c r="O23" i="3" s="1"/>
  <c r="O24" i="3"/>
  <c r="N24" i="4"/>
  <c r="O20" i="5"/>
  <c r="O19" i="5"/>
  <c r="P16" i="5" s="1"/>
  <c r="O22" i="4"/>
  <c r="O23" i="4" s="1"/>
  <c r="Q24" i="8"/>
  <c r="Q19" i="6"/>
  <c r="R16" i="6" s="1"/>
  <c r="Q20" i="6"/>
  <c r="Q22" i="9"/>
  <c r="Q23" i="9" s="1"/>
  <c r="R22" i="8"/>
  <c r="R23" i="8" s="1"/>
  <c r="P20" i="3"/>
  <c r="P19" i="3"/>
  <c r="Q16" i="3" s="1"/>
  <c r="L24" i="5"/>
  <c r="Q18" i="4" l="1"/>
  <c r="Q19" i="4" s="1"/>
  <c r="R16" i="4" s="1"/>
  <c r="Q20" i="4"/>
  <c r="T20" i="8"/>
  <c r="T19" i="8"/>
  <c r="U16" i="8" s="1"/>
  <c r="R22" i="9"/>
  <c r="R23" i="9" s="1"/>
  <c r="S20" i="9"/>
  <c r="S19" i="9"/>
  <c r="T16" i="9" s="1"/>
  <c r="O24" i="4"/>
  <c r="P20" i="5"/>
  <c r="P19" i="5"/>
  <c r="Q16" i="5" s="1"/>
  <c r="P22" i="10"/>
  <c r="P23" i="10" s="1"/>
  <c r="S22" i="8"/>
  <c r="S23" i="8" s="1"/>
  <c r="S24" i="8"/>
  <c r="Q20" i="3"/>
  <c r="Q19" i="3"/>
  <c r="R16" i="3" s="1"/>
  <c r="R20" i="7"/>
  <c r="R19" i="7"/>
  <c r="S16" i="7" s="1"/>
  <c r="Q22" i="7"/>
  <c r="Q23" i="7" s="1"/>
  <c r="Q24" i="7"/>
  <c r="O22" i="5"/>
  <c r="O23" i="5" s="1"/>
  <c r="N24" i="5"/>
  <c r="P22" i="3"/>
  <c r="P23" i="3" s="1"/>
  <c r="R24" i="8"/>
  <c r="Q24" i="9"/>
  <c r="Q22" i="6"/>
  <c r="Q23" i="6" s="1"/>
  <c r="Q24" i="6"/>
  <c r="R20" i="6"/>
  <c r="R19" i="6"/>
  <c r="S16" i="6" s="1"/>
  <c r="O24" i="10"/>
  <c r="Q19" i="10"/>
  <c r="R16" i="10" s="1"/>
  <c r="Q20" i="10"/>
  <c r="P24" i="4"/>
  <c r="P22" i="4"/>
  <c r="P23" i="4" s="1"/>
  <c r="R18" i="4" l="1"/>
  <c r="R20" i="4" s="1"/>
  <c r="Q20" i="5"/>
  <c r="Q19" i="5"/>
  <c r="R16" i="5" s="1"/>
  <c r="P24" i="10"/>
  <c r="P22" i="5"/>
  <c r="P23" i="5" s="1"/>
  <c r="S22" i="9"/>
  <c r="S23" i="9" s="1"/>
  <c r="U20" i="8"/>
  <c r="U19" i="8"/>
  <c r="V16" i="8" s="1"/>
  <c r="R22" i="7"/>
  <c r="R23" i="7" s="1"/>
  <c r="Q22" i="3"/>
  <c r="Q23" i="3" s="1"/>
  <c r="S20" i="6"/>
  <c r="S19" i="6"/>
  <c r="T16" i="6" s="1"/>
  <c r="T20" i="9"/>
  <c r="T19" i="9"/>
  <c r="U16" i="9" s="1"/>
  <c r="S20" i="7"/>
  <c r="S19" i="7"/>
  <c r="T16" i="7" s="1"/>
  <c r="R20" i="3"/>
  <c r="R19" i="3"/>
  <c r="S16" i="3" s="1"/>
  <c r="Q22" i="10"/>
  <c r="Q23" i="10" s="1"/>
  <c r="R20" i="10"/>
  <c r="R19" i="10"/>
  <c r="S16" i="10" s="1"/>
  <c r="R22" i="6"/>
  <c r="R23" i="6" s="1"/>
  <c r="R24" i="6"/>
  <c r="P24" i="3"/>
  <c r="R24" i="9"/>
  <c r="T22" i="8"/>
  <c r="T23" i="8" s="1"/>
  <c r="O24" i="5"/>
  <c r="Q22" i="4"/>
  <c r="Q23" i="4" s="1"/>
  <c r="R22" i="4" l="1"/>
  <c r="R23" i="4" s="1"/>
  <c r="R24" i="4"/>
  <c r="S22" i="6"/>
  <c r="S23" i="6" s="1"/>
  <c r="S24" i="6"/>
  <c r="V20" i="8"/>
  <c r="V19" i="8"/>
  <c r="S20" i="10"/>
  <c r="S19" i="10"/>
  <c r="T16" i="10" s="1"/>
  <c r="Q24" i="4"/>
  <c r="Q24" i="3"/>
  <c r="T20" i="6"/>
  <c r="T19" i="6"/>
  <c r="U16" i="6" s="1"/>
  <c r="T24" i="8"/>
  <c r="U22" i="8"/>
  <c r="U23" i="8" s="1"/>
  <c r="R22" i="10"/>
  <c r="R23" i="10" s="1"/>
  <c r="P24" i="5"/>
  <c r="R19" i="5"/>
  <c r="S16" i="5" s="1"/>
  <c r="R20" i="5"/>
  <c r="T20" i="7"/>
  <c r="T19" i="7"/>
  <c r="U16" i="7" s="1"/>
  <c r="U20" i="9"/>
  <c r="U19" i="9"/>
  <c r="V16" i="9" s="1"/>
  <c r="T22" i="9"/>
  <c r="T23" i="9" s="1"/>
  <c r="R24" i="7"/>
  <c r="S24" i="9"/>
  <c r="Q24" i="10"/>
  <c r="S20" i="3"/>
  <c r="S19" i="3"/>
  <c r="T16" i="3" s="1"/>
  <c r="Q22" i="5"/>
  <c r="Q23" i="5" s="1"/>
  <c r="R22" i="3"/>
  <c r="R23" i="3" s="1"/>
  <c r="R24" i="3"/>
  <c r="R19" i="4"/>
  <c r="S16" i="4" s="1"/>
  <c r="S22" i="7"/>
  <c r="S23" i="7" s="1"/>
  <c r="R22" i="5" l="1"/>
  <c r="R23" i="5" s="1"/>
  <c r="R24" i="5"/>
  <c r="Q24" i="5"/>
  <c r="T20" i="3"/>
  <c r="T19" i="3"/>
  <c r="U16" i="3" s="1"/>
  <c r="S24" i="10"/>
  <c r="S22" i="10"/>
  <c r="S23" i="10" s="1"/>
  <c r="V20" i="9"/>
  <c r="V19" i="9"/>
  <c r="U22" i="9"/>
  <c r="U23" i="9" s="1"/>
  <c r="S18" i="4"/>
  <c r="S19" i="4" s="1"/>
  <c r="T16" i="4" s="1"/>
  <c r="U20" i="6"/>
  <c r="U19" i="6"/>
  <c r="V16" i="6" s="1"/>
  <c r="T22" i="6"/>
  <c r="T23" i="6" s="1"/>
  <c r="T24" i="6"/>
  <c r="T20" i="10"/>
  <c r="T19" i="10"/>
  <c r="U16" i="10" s="1"/>
  <c r="V22" i="8"/>
  <c r="V24" i="8"/>
  <c r="S19" i="5"/>
  <c r="T16" i="5" s="1"/>
  <c r="S20" i="5"/>
  <c r="S24" i="7"/>
  <c r="R24" i="10"/>
  <c r="U24" i="8"/>
  <c r="S22" i="3"/>
  <c r="S23" i="3" s="1"/>
  <c r="T24" i="9"/>
  <c r="U19" i="7"/>
  <c r="V16" i="7" s="1"/>
  <c r="U20" i="7"/>
  <c r="T22" i="7"/>
  <c r="T23" i="7" s="1"/>
  <c r="T18" i="4" l="1"/>
  <c r="T20" i="4" s="1"/>
  <c r="S20" i="4"/>
  <c r="V22" i="9"/>
  <c r="V24" i="9" s="1"/>
  <c r="V20" i="6"/>
  <c r="V19" i="6"/>
  <c r="T24" i="7"/>
  <c r="V19" i="7"/>
  <c r="V20" i="7"/>
  <c r="U24" i="9"/>
  <c r="U24" i="7"/>
  <c r="U22" i="7"/>
  <c r="U23" i="7" s="1"/>
  <c r="S22" i="5"/>
  <c r="S23" i="5" s="1"/>
  <c r="T19" i="5"/>
  <c r="U16" i="5" s="1"/>
  <c r="T20" i="5"/>
  <c r="U22" i="6"/>
  <c r="U23" i="6" s="1"/>
  <c r="U24" i="6"/>
  <c r="S24" i="3"/>
  <c r="U20" i="3"/>
  <c r="U19" i="3"/>
  <c r="V16" i="3" s="1"/>
  <c r="T22" i="3"/>
  <c r="T23" i="3" s="1"/>
  <c r="V23" i="8"/>
  <c r="H32" i="8" s="1"/>
  <c r="H33" i="8" s="1"/>
  <c r="H34" i="8" s="1"/>
  <c r="H35" i="8"/>
  <c r="U20" i="10"/>
  <c r="U19" i="10"/>
  <c r="V16" i="10" s="1"/>
  <c r="T22" i="10"/>
  <c r="T23" i="10" s="1"/>
  <c r="T22" i="4" l="1"/>
  <c r="T23" i="4" s="1"/>
  <c r="T24" i="4"/>
  <c r="V22" i="7"/>
  <c r="V24" i="7"/>
  <c r="T24" i="3"/>
  <c r="V19" i="3"/>
  <c r="W16" i="3" s="1"/>
  <c r="V20" i="3"/>
  <c r="V22" i="6"/>
  <c r="V24" i="6"/>
  <c r="S24" i="5"/>
  <c r="T24" i="10"/>
  <c r="V20" i="10"/>
  <c r="V19" i="10"/>
  <c r="U22" i="3"/>
  <c r="U23" i="3" s="1"/>
  <c r="T22" i="5"/>
  <c r="T23" i="5" s="1"/>
  <c r="T19" i="4"/>
  <c r="U16" i="4" s="1"/>
  <c r="U22" i="10"/>
  <c r="U23" i="10" s="1"/>
  <c r="V23" i="9"/>
  <c r="H32" i="9" s="1"/>
  <c r="H33" i="9" s="1"/>
  <c r="H34" i="9" s="1"/>
  <c r="H35" i="9"/>
  <c r="S22" i="4"/>
  <c r="S23" i="4" s="1"/>
  <c r="S24" i="4"/>
  <c r="U20" i="5"/>
  <c r="U19" i="5"/>
  <c r="V16" i="5" s="1"/>
  <c r="V22" i="10" l="1"/>
  <c r="U22" i="5"/>
  <c r="U23" i="5" s="1"/>
  <c r="V22" i="3"/>
  <c r="V23" i="3" s="1"/>
  <c r="H32" i="3" s="1"/>
  <c r="H33" i="3" s="1"/>
  <c r="H34" i="3" s="1"/>
  <c r="T24" i="5"/>
  <c r="U24" i="3"/>
  <c r="V20" i="5"/>
  <c r="V19" i="5"/>
  <c r="W16" i="5" s="1"/>
  <c r="U24" i="10"/>
  <c r="H35" i="6"/>
  <c r="V23" i="6"/>
  <c r="H32" i="6" s="1"/>
  <c r="H33" i="6" s="1"/>
  <c r="H34" i="6" s="1"/>
  <c r="U19" i="4"/>
  <c r="V16" i="4" s="1"/>
  <c r="U18" i="4"/>
  <c r="U20" i="4" s="1"/>
  <c r="W19" i="3"/>
  <c r="X16" i="3" s="1"/>
  <c r="W20" i="3"/>
  <c r="V23" i="7"/>
  <c r="H32" i="7" s="1"/>
  <c r="H33" i="7" s="1"/>
  <c r="H34" i="7" s="1"/>
  <c r="H35" i="7"/>
  <c r="U22" i="4" l="1"/>
  <c r="U23" i="4" s="1"/>
  <c r="W22" i="3"/>
  <c r="W23" i="3" s="1"/>
  <c r="V18" i="4"/>
  <c r="V19" i="4"/>
  <c r="W16" i="4" s="1"/>
  <c r="V20" i="4"/>
  <c r="X20" i="3"/>
  <c r="X19" i="3"/>
  <c r="Y16" i="3" s="1"/>
  <c r="H35" i="10"/>
  <c r="V23" i="10"/>
  <c r="H32" i="10" s="1"/>
  <c r="H33" i="10" s="1"/>
  <c r="H34" i="10" s="1"/>
  <c r="V22" i="5"/>
  <c r="V23" i="5" s="1"/>
  <c r="H32" i="5" s="1"/>
  <c r="H33" i="5" s="1"/>
  <c r="H34" i="5" s="1"/>
  <c r="V24" i="5"/>
  <c r="V24" i="3"/>
  <c r="U24" i="5"/>
  <c r="W20" i="5"/>
  <c r="W19" i="5"/>
  <c r="X16" i="5" s="1"/>
  <c r="V24" i="10"/>
  <c r="W24" i="3" l="1"/>
  <c r="X20" i="5"/>
  <c r="X19" i="5"/>
  <c r="Y16" i="5" s="1"/>
  <c r="W22" i="5"/>
  <c r="W23" i="5" s="1"/>
  <c r="Y20" i="3"/>
  <c r="Y19" i="3"/>
  <c r="Z16" i="3" s="1"/>
  <c r="V22" i="4"/>
  <c r="V23" i="4" s="1"/>
  <c r="H32" i="4" s="1"/>
  <c r="H33" i="4" s="1"/>
  <c r="H34" i="4" s="1"/>
  <c r="W18" i="4"/>
  <c r="W19" i="4" s="1"/>
  <c r="X16" i="4" s="1"/>
  <c r="W20" i="4"/>
  <c r="X22" i="3"/>
  <c r="X23" i="3" s="1"/>
  <c r="U24" i="4"/>
  <c r="X18" i="4" l="1"/>
  <c r="X19" i="4" s="1"/>
  <c r="Y16" i="4" s="1"/>
  <c r="Z20" i="3"/>
  <c r="Z19" i="3"/>
  <c r="AA16" i="3" s="1"/>
  <c r="Y24" i="3"/>
  <c r="Y22" i="3"/>
  <c r="Y23" i="3" s="1"/>
  <c r="X22" i="5"/>
  <c r="X23" i="5" s="1"/>
  <c r="X24" i="5"/>
  <c r="W24" i="4"/>
  <c r="W22" i="4"/>
  <c r="W23" i="4" s="1"/>
  <c r="X24" i="3"/>
  <c r="W24" i="5"/>
  <c r="Y20" i="5"/>
  <c r="Y19" i="5"/>
  <c r="Z16" i="5" s="1"/>
  <c r="V24" i="4"/>
  <c r="Y20" i="4" l="1"/>
  <c r="Y18" i="4"/>
  <c r="Y19" i="4" s="1"/>
  <c r="Z16" i="4" s="1"/>
  <c r="Z20" i="5"/>
  <c r="Z19" i="5"/>
  <c r="AA16" i="5" s="1"/>
  <c r="Y22" i="5"/>
  <c r="Y23" i="5" s="1"/>
  <c r="Y24" i="5"/>
  <c r="AA20" i="3"/>
  <c r="AA19" i="3"/>
  <c r="AB16" i="3" s="1"/>
  <c r="Z22" i="3"/>
  <c r="Z23" i="3" s="1"/>
  <c r="Z24" i="3"/>
  <c r="X20" i="4"/>
  <c r="Z18" i="4" l="1"/>
  <c r="Z19" i="4" s="1"/>
  <c r="AA16" i="4" s="1"/>
  <c r="AA22" i="3"/>
  <c r="AA23" i="3" s="1"/>
  <c r="AB19" i="3"/>
  <c r="AC16" i="3" s="1"/>
  <c r="AB20" i="3"/>
  <c r="AA20" i="5"/>
  <c r="AA19" i="5"/>
  <c r="AB16" i="5" s="1"/>
  <c r="Z22" i="5"/>
  <c r="Z23" i="5" s="1"/>
  <c r="X22" i="4"/>
  <c r="X23" i="4" s="1"/>
  <c r="Y22" i="4"/>
  <c r="Y23" i="4" s="1"/>
  <c r="AA18" i="4" l="1"/>
  <c r="AA19" i="4" s="1"/>
  <c r="AB16" i="4" s="1"/>
  <c r="AB22" i="3"/>
  <c r="AB23" i="3" s="1"/>
  <c r="AB24" i="3"/>
  <c r="AA22" i="5"/>
  <c r="AA23" i="5" s="1"/>
  <c r="AA24" i="5"/>
  <c r="Y24" i="4"/>
  <c r="X24" i="4"/>
  <c r="Z20" i="4"/>
  <c r="AC19" i="3"/>
  <c r="AD16" i="3" s="1"/>
  <c r="AC20" i="3"/>
  <c r="AA24" i="3"/>
  <c r="Z24" i="5"/>
  <c r="AB20" i="5"/>
  <c r="AB19" i="5"/>
  <c r="AC16" i="5" s="1"/>
  <c r="AB18" i="4" l="1"/>
  <c r="AB19" i="4" s="1"/>
  <c r="AC16" i="4" s="1"/>
  <c r="I32" i="8"/>
  <c r="I33" i="8" s="1"/>
  <c r="I34" i="8" s="1"/>
  <c r="AC19" i="5"/>
  <c r="AD16" i="5" s="1"/>
  <c r="AC20" i="5"/>
  <c r="AB22" i="5"/>
  <c r="AB23" i="5" s="1"/>
  <c r="AC22" i="3"/>
  <c r="AC23" i="3" s="1"/>
  <c r="AC24" i="3"/>
  <c r="AD19" i="3"/>
  <c r="AE16" i="3" s="1"/>
  <c r="AD20" i="3"/>
  <c r="AA20" i="4"/>
  <c r="Z24" i="4"/>
  <c r="Z22" i="4"/>
  <c r="Z23" i="4" s="1"/>
  <c r="AC20" i="4" l="1"/>
  <c r="AC18" i="4"/>
  <c r="AC19" i="4" s="1"/>
  <c r="AD16" i="4" s="1"/>
  <c r="AE20" i="3"/>
  <c r="AE19" i="3"/>
  <c r="AF16" i="3" s="1"/>
  <c r="AB20" i="4"/>
  <c r="AA22" i="4"/>
  <c r="AA23" i="4" s="1"/>
  <c r="AD22" i="3"/>
  <c r="AD23" i="3" s="1"/>
  <c r="AD24" i="3"/>
  <c r="AB24" i="5"/>
  <c r="AD19" i="5"/>
  <c r="AE16" i="5" s="1"/>
  <c r="AD20" i="5"/>
  <c r="AC24" i="5"/>
  <c r="AC22" i="5"/>
  <c r="AC23" i="5" s="1"/>
  <c r="I32" i="9"/>
  <c r="I33" i="9" s="1"/>
  <c r="I34" i="9" s="1"/>
  <c r="AD18" i="4" l="1"/>
  <c r="AD20" i="4" s="1"/>
  <c r="I32" i="6"/>
  <c r="I33" i="6" s="1"/>
  <c r="I34" i="6" s="1"/>
  <c r="AA24" i="4"/>
  <c r="I32" i="7"/>
  <c r="I33" i="7" s="1"/>
  <c r="I34" i="7" s="1"/>
  <c r="AB24" i="4"/>
  <c r="AB22" i="4"/>
  <c r="AB23" i="4" s="1"/>
  <c r="AE19" i="5"/>
  <c r="AF16" i="5" s="1"/>
  <c r="AE20" i="5"/>
  <c r="AF19" i="3"/>
  <c r="AG16" i="3" s="1"/>
  <c r="AF20" i="3"/>
  <c r="AD22" i="5"/>
  <c r="AD23" i="5" s="1"/>
  <c r="AE22" i="3"/>
  <c r="AE23" i="3" s="1"/>
  <c r="AE24" i="3"/>
  <c r="AC22" i="4"/>
  <c r="AC23" i="4" s="1"/>
  <c r="AD22" i="4" l="1"/>
  <c r="AD23" i="4" s="1"/>
  <c r="AD24" i="5"/>
  <c r="AF22" i="3"/>
  <c r="AF23" i="3" s="1"/>
  <c r="I32" i="3" s="1"/>
  <c r="I33" i="3" s="1"/>
  <c r="I34" i="3" s="1"/>
  <c r="AF24" i="3"/>
  <c r="I32" i="10"/>
  <c r="I33" i="10" s="1"/>
  <c r="I34" i="10" s="1"/>
  <c r="AG19" i="3"/>
  <c r="AH16" i="3" s="1"/>
  <c r="AG20" i="3"/>
  <c r="AE22" i="5"/>
  <c r="AE23" i="5" s="1"/>
  <c r="AF20" i="5"/>
  <c r="AF19" i="5"/>
  <c r="AG16" i="5" s="1"/>
  <c r="AD19" i="4"/>
  <c r="AE16" i="4" s="1"/>
  <c r="AC24" i="4"/>
  <c r="AE24" i="5" l="1"/>
  <c r="AE18" i="4"/>
  <c r="AE20" i="4" s="1"/>
  <c r="AE19" i="4"/>
  <c r="AF16" i="4" s="1"/>
  <c r="AH20" i="3"/>
  <c r="AH19" i="3"/>
  <c r="AI16" i="3" s="1"/>
  <c r="AG20" i="5"/>
  <c r="AG19" i="5"/>
  <c r="AH16" i="5" s="1"/>
  <c r="AG22" i="3"/>
  <c r="AG23" i="3" s="1"/>
  <c r="AF22" i="5"/>
  <c r="AF23" i="5" s="1"/>
  <c r="I32" i="5" s="1"/>
  <c r="I33" i="5" s="1"/>
  <c r="I34" i="5" s="1"/>
  <c r="AD24" i="4"/>
  <c r="AE24" i="4" l="1"/>
  <c r="AE22" i="4"/>
  <c r="AE23" i="4" s="1"/>
  <c r="AH20" i="5"/>
  <c r="AH19" i="5"/>
  <c r="AI16" i="5" s="1"/>
  <c r="AG22" i="5"/>
  <c r="AG23" i="5" s="1"/>
  <c r="AF24" i="5"/>
  <c r="AF18" i="4"/>
  <c r="AF19" i="4" s="1"/>
  <c r="AG16" i="4" s="1"/>
  <c r="AH22" i="3"/>
  <c r="AH23" i="3" s="1"/>
  <c r="AH24" i="3"/>
  <c r="AI20" i="3"/>
  <c r="AI19" i="3"/>
  <c r="AJ16" i="3" s="1"/>
  <c r="AG24" i="3"/>
  <c r="AG18" i="4" l="1"/>
  <c r="AG20" i="4" s="1"/>
  <c r="AG19" i="4"/>
  <c r="AH16" i="4" s="1"/>
  <c r="AI22" i="3"/>
  <c r="AI23" i="3" s="1"/>
  <c r="AI24" i="3"/>
  <c r="AF20" i="4"/>
  <c r="AJ19" i="3"/>
  <c r="AK16" i="3" s="1"/>
  <c r="AJ20" i="3"/>
  <c r="AI19" i="5"/>
  <c r="AJ16" i="5" s="1"/>
  <c r="AI20" i="5"/>
  <c r="AH24" i="5"/>
  <c r="AH22" i="5"/>
  <c r="AH23" i="5" s="1"/>
  <c r="AG24" i="5"/>
  <c r="AG22" i="4" l="1"/>
  <c r="AG23" i="4" s="1"/>
  <c r="AJ22" i="3"/>
  <c r="AJ23" i="3" s="1"/>
  <c r="AH20" i="4"/>
  <c r="AH18" i="4"/>
  <c r="AH19" i="4" s="1"/>
  <c r="AI16" i="4" s="1"/>
  <c r="AK19" i="3"/>
  <c r="AL16" i="3" s="1"/>
  <c r="AK20" i="3"/>
  <c r="AF24" i="4"/>
  <c r="AF22" i="4"/>
  <c r="AF23" i="4" s="1"/>
  <c r="I32" i="4" s="1"/>
  <c r="I33" i="4" s="1"/>
  <c r="I34" i="4" s="1"/>
  <c r="AI22" i="5"/>
  <c r="AI23" i="5" s="1"/>
  <c r="AJ19" i="5"/>
  <c r="AK16" i="5" s="1"/>
  <c r="AJ20" i="5"/>
  <c r="AI18" i="4" l="1"/>
  <c r="AI19" i="4" s="1"/>
  <c r="AJ16" i="4" s="1"/>
  <c r="AJ22" i="5"/>
  <c r="AJ23" i="5" s="1"/>
  <c r="AJ24" i="5"/>
  <c r="AK22" i="3"/>
  <c r="AK23" i="3" s="1"/>
  <c r="AH22" i="4"/>
  <c r="AH23" i="4" s="1"/>
  <c r="AK19" i="5"/>
  <c r="AL16" i="5" s="1"/>
  <c r="AK20" i="5"/>
  <c r="AI24" i="5"/>
  <c r="AL20" i="3"/>
  <c r="AL19" i="3"/>
  <c r="AM16" i="3" s="1"/>
  <c r="AJ24" i="3"/>
  <c r="AG24" i="4"/>
  <c r="AJ19" i="4" l="1"/>
  <c r="AK16" i="4" s="1"/>
  <c r="AJ18" i="4"/>
  <c r="AJ20" i="4" s="1"/>
  <c r="AK22" i="5"/>
  <c r="AK23" i="5" s="1"/>
  <c r="AK24" i="5"/>
  <c r="AL19" i="5"/>
  <c r="AM16" i="5" s="1"/>
  <c r="AL20" i="5"/>
  <c r="AH24" i="4"/>
  <c r="AK24" i="3"/>
  <c r="AM20" i="3"/>
  <c r="AM19" i="3"/>
  <c r="AN16" i="3" s="1"/>
  <c r="AI20" i="4"/>
  <c r="AL22" i="3"/>
  <c r="AL23" i="3" s="1"/>
  <c r="AL24" i="3"/>
  <c r="AJ22" i="4" l="1"/>
  <c r="AJ23" i="4" s="1"/>
  <c r="AM20" i="5"/>
  <c r="AM19" i="5"/>
  <c r="AN16" i="5" s="1"/>
  <c r="AL22" i="5"/>
  <c r="AL23" i="5" s="1"/>
  <c r="AI22" i="4"/>
  <c r="AI23" i="4" s="1"/>
  <c r="AN20" i="3"/>
  <c r="AN19" i="3"/>
  <c r="AO16" i="3" s="1"/>
  <c r="AM22" i="3"/>
  <c r="AM23" i="3" s="1"/>
  <c r="AK18" i="4"/>
  <c r="AK19" i="4" s="1"/>
  <c r="AL16" i="4" s="1"/>
  <c r="AL18" i="4" l="1"/>
  <c r="AL19" i="4"/>
  <c r="AM16" i="4" s="1"/>
  <c r="AL20" i="4"/>
  <c r="AK20" i="4"/>
  <c r="AL24" i="5"/>
  <c r="AM24" i="5"/>
  <c r="AM22" i="5"/>
  <c r="AM23" i="5" s="1"/>
  <c r="AO20" i="3"/>
  <c r="AO19" i="3"/>
  <c r="AP16" i="3" s="1"/>
  <c r="AN22" i="3"/>
  <c r="AN23" i="3" s="1"/>
  <c r="AI24" i="4"/>
  <c r="AN19" i="5"/>
  <c r="AO16" i="5" s="1"/>
  <c r="AN20" i="5"/>
  <c r="AM24" i="3"/>
  <c r="AJ24" i="4"/>
  <c r="AO22" i="3" l="1"/>
  <c r="AO23" i="3" s="1"/>
  <c r="AL22" i="4"/>
  <c r="AL23" i="4" s="1"/>
  <c r="AN24" i="3"/>
  <c r="AN22" i="5"/>
  <c r="AN23" i="5" s="1"/>
  <c r="AM18" i="4"/>
  <c r="AM20" i="4" s="1"/>
  <c r="AP19" i="3"/>
  <c r="AQ16" i="3" s="1"/>
  <c r="AP20" i="3"/>
  <c r="AO19" i="5"/>
  <c r="AP16" i="5" s="1"/>
  <c r="AO20" i="5"/>
  <c r="AK22" i="4"/>
  <c r="AK23" i="4" s="1"/>
  <c r="AK24" i="4"/>
  <c r="AM22" i="4" l="1"/>
  <c r="AM23" i="4" s="1"/>
  <c r="AM24" i="4"/>
  <c r="AN24" i="5"/>
  <c r="AL24" i="4"/>
  <c r="AP20" i="5"/>
  <c r="AP19" i="5"/>
  <c r="AQ16" i="5" s="1"/>
  <c r="AO22" i="5"/>
  <c r="AO23" i="5" s="1"/>
  <c r="AO24" i="5"/>
  <c r="AM19" i="4"/>
  <c r="AN16" i="4" s="1"/>
  <c r="AO24" i="3"/>
  <c r="AP22" i="3"/>
  <c r="AP23" i="3" s="1"/>
  <c r="AQ19" i="3"/>
  <c r="AR16" i="3" s="1"/>
  <c r="AQ20" i="3"/>
  <c r="AR20" i="3" l="1"/>
  <c r="AR19" i="3"/>
  <c r="AS16" i="3" s="1"/>
  <c r="AP24" i="3"/>
  <c r="AQ19" i="5"/>
  <c r="AR16" i="5" s="1"/>
  <c r="AQ20" i="5"/>
  <c r="AQ24" i="3"/>
  <c r="AQ22" i="3"/>
  <c r="AQ23" i="3" s="1"/>
  <c r="AP22" i="5"/>
  <c r="AP23" i="5" s="1"/>
  <c r="AP24" i="5"/>
  <c r="AN18" i="4"/>
  <c r="AN20" i="4"/>
  <c r="AN19" i="4"/>
  <c r="AO16" i="4" s="1"/>
  <c r="AQ22" i="5" l="1"/>
  <c r="AQ23" i="5" s="1"/>
  <c r="AO18" i="4"/>
  <c r="AO20" i="4"/>
  <c r="AO19" i="4"/>
  <c r="AP16" i="4" s="1"/>
  <c r="AS20" i="3"/>
  <c r="AS19" i="3"/>
  <c r="AT16" i="3" s="1"/>
  <c r="AN22" i="4"/>
  <c r="AN23" i="4" s="1"/>
  <c r="AN24" i="4"/>
  <c r="AR22" i="3"/>
  <c r="AR23" i="3" s="1"/>
  <c r="AR19" i="5"/>
  <c r="AS16" i="5" s="1"/>
  <c r="AR20" i="5"/>
  <c r="AR24" i="3" l="1"/>
  <c r="AT20" i="3"/>
  <c r="AT19" i="3"/>
  <c r="AU16" i="3" s="1"/>
  <c r="AS24" i="3"/>
  <c r="AS22" i="3"/>
  <c r="AS23" i="3" s="1"/>
  <c r="AO22" i="4"/>
  <c r="AO23" i="4" s="1"/>
  <c r="AP18" i="4"/>
  <c r="AP20" i="4" s="1"/>
  <c r="AR22" i="5"/>
  <c r="AR23" i="5" s="1"/>
  <c r="AR24" i="5"/>
  <c r="AS19" i="5"/>
  <c r="AT16" i="5" s="1"/>
  <c r="AS20" i="5"/>
  <c r="AQ24" i="5"/>
  <c r="AP22" i="4" l="1"/>
  <c r="AP23" i="4" s="1"/>
  <c r="AP19" i="4"/>
  <c r="AQ16" i="4" s="1"/>
  <c r="AT22" i="3"/>
  <c r="AT23" i="3" s="1"/>
  <c r="AU20" i="3"/>
  <c r="AU19" i="3"/>
  <c r="AS22" i="5"/>
  <c r="AS23" i="5" s="1"/>
  <c r="AS24" i="5"/>
  <c r="AO24" i="4"/>
  <c r="AT19" i="5"/>
  <c r="AU16" i="5" s="1"/>
  <c r="AT20" i="5"/>
  <c r="AU24" i="3" l="1"/>
  <c r="AU22" i="3"/>
  <c r="AU23" i="3" s="1"/>
  <c r="AT24" i="3"/>
  <c r="AQ18" i="4"/>
  <c r="AQ20" i="4" s="1"/>
  <c r="AQ19" i="4"/>
  <c r="AR16" i="4" s="1"/>
  <c r="AT22" i="5"/>
  <c r="AT23" i="5" s="1"/>
  <c r="AT24" i="5"/>
  <c r="AU19" i="5"/>
  <c r="AU20" i="5"/>
  <c r="AP24" i="4"/>
  <c r="AQ22" i="4" l="1"/>
  <c r="AQ23" i="4" s="1"/>
  <c r="AR18" i="4"/>
  <c r="AR20" i="4" s="1"/>
  <c r="AU22" i="5"/>
  <c r="AU23" i="5" s="1"/>
  <c r="AR24" i="4" l="1"/>
  <c r="AR22" i="4"/>
  <c r="AR23" i="4" s="1"/>
  <c r="AU24" i="5"/>
  <c r="AR19" i="4"/>
  <c r="AS16" i="4" s="1"/>
  <c r="AQ24" i="4"/>
  <c r="AS18" i="4" l="1"/>
  <c r="AS20" i="4"/>
  <c r="AS19" i="4"/>
  <c r="AT16" i="4" s="1"/>
  <c r="AT18" i="4" l="1"/>
  <c r="AT19" i="4" s="1"/>
  <c r="AU16" i="4" s="1"/>
  <c r="AT20" i="4"/>
  <c r="AS22" i="4"/>
  <c r="AS23" i="4" s="1"/>
  <c r="AU18" i="4" l="1"/>
  <c r="AU19" i="4"/>
  <c r="AU20" i="4"/>
  <c r="AT22" i="4"/>
  <c r="AT23" i="4" s="1"/>
  <c r="AS24" i="4"/>
  <c r="AT24" i="4" l="1"/>
  <c r="AU22" i="4"/>
  <c r="AU23" i="4" s="1"/>
  <c r="AU24" i="4" l="1"/>
</calcChain>
</file>

<file path=xl/sharedStrings.xml><?xml version="1.0" encoding="utf-8"?>
<sst xmlns="http://schemas.openxmlformats.org/spreadsheetml/2006/main" count="487" uniqueCount="137">
  <si>
    <t>Raw quantities extracted from solved PyPSA networks</t>
  </si>
  <si>
    <t>DSO assets: costed links with carrier 'electricity distribution grid' (capital_cost &gt; 0). Overnight CAPEX is used only as a ratio vs Build; it is not written into Excel as an absolute bn EUR figure.</t>
  </si>
  <si>
    <t>run</t>
  </si>
  <si>
    <t>scenario</t>
  </si>
  <si>
    <t>cap_fraction</t>
  </si>
  <si>
    <t>year</t>
  </si>
  <si>
    <t>costed_dso_links</t>
  </si>
  <si>
    <t>new_dso_capacity_gw</t>
  </si>
  <si>
    <t>installed_dso_stock_gw</t>
  </si>
  <si>
    <t>overnight_investment_eur_per_mw</t>
  </si>
  <si>
    <t>overnight_capex_eur</t>
  </si>
  <si>
    <t>overnight_capex_bn_eur</t>
  </si>
  <si>
    <t>annualised_new_capex_bn_eur_per_yr</t>
  </si>
  <si>
    <t>dso_capital_cost_eur_per_mw_yr</t>
  </si>
  <si>
    <t>dso_lifetime_years</t>
  </si>
  <si>
    <t>dso_fom_percent</t>
  </si>
  <si>
    <t>dso_discount_rate</t>
  </si>
  <si>
    <t>dso_currency_year</t>
  </si>
  <si>
    <t>dso_delivered_hv_to_lv_twh</t>
  </si>
  <si>
    <t>lv_electric_load_twh</t>
  </si>
  <si>
    <t>heat_pump_electricity_twh</t>
  </si>
  <si>
    <t>resistive_heater_electricity_twh</t>
  </si>
  <si>
    <t>bev_electricity_twh</t>
  </si>
  <si>
    <t>electrified_lv_demand_twh</t>
  </si>
  <si>
    <t>electrified_lv_demand_served_twh</t>
  </si>
  <si>
    <t>lv_load_shedding_twh</t>
  </si>
  <si>
    <t>solar_rooftop_twh</t>
  </si>
  <si>
    <t>old_proxy_dso_tariff_eur_per_mwh</t>
  </si>
  <si>
    <t>old_proxy_vs_incomplete_lv_demand_eur_per_mwh</t>
  </si>
  <si>
    <t>grid-build-2040</t>
  </si>
  <si>
    <t>Build</t>
  </si>
  <si>
    <t>grid-inaction-2040-mild85</t>
  </si>
  <si>
    <t>85%</t>
  </si>
  <si>
    <t>grid-inaction-2040-mild75</t>
  </si>
  <si>
    <t>75%</t>
  </si>
  <si>
    <t>grid-inaction-2040-mild65</t>
  </si>
  <si>
    <t>65%</t>
  </si>
  <si>
    <t>grid-inaction-2040-moderate</t>
  </si>
  <si>
    <t>50%</t>
  </si>
  <si>
    <t>Excel sheet</t>
  </si>
  <si>
    <t>Cell/range</t>
  </si>
  <si>
    <t>Quantity written</t>
  </si>
  <si>
    <t>Source</t>
  </si>
  <si>
    <t>Notes</t>
  </si>
  <si>
    <t>PyPSA_Build</t>
  </si>
  <si>
    <t>H17:V17 (2026-2040)</t>
  </si>
  <si>
    <t>original Excel CAPEX (Build baseline)</t>
  </si>
  <si>
    <t>Sheet1 row 17</t>
  </si>
  <si>
    <t>Not replaced. PyPSA absolute overnight is not injected.</t>
  </si>
  <si>
    <t>PyPSA_85/75/65/50pct</t>
  </si>
  <si>
    <t>H17:L17 (2026-2030)</t>
  </si>
  <si>
    <t>Excel CAPEX × (scenario 2030 overnight / Build 2030 overnight)</t>
  </si>
  <si>
    <t>PyPSA ratio only</t>
  </si>
  <si>
    <t>Typically 0.85/0.75/0.65/0.50 × 72 bn €/yr.</t>
  </si>
  <si>
    <t>M17:V17 (2031-2040)</t>
  </si>
  <si>
    <t>Excel CAPEX × (scenario 2040 overnight / Build 2040 overnight)</t>
  </si>
  <si>
    <t>2040 cohort ratio; 2030 brownfield not recounted.</t>
  </si>
  <si>
    <t>PyPSA_*</t>
  </si>
  <si>
    <t>W17:AN17 (2041+)</t>
  </si>
  <si>
    <t>(unchanged)</t>
  </si>
  <si>
    <t>Original Excel</t>
  </si>
  <si>
    <t>No PyPSA 2050 network; left as original 60 bn/yr for all scenarios.</t>
  </si>
  <si>
    <t>B17:G17 (2020-2025)</t>
  </si>
  <si>
    <t>(unchanged original historical CAPEX)</t>
  </si>
  <si>
    <t>Kept so the RAB path to today is the same in every scenario.</t>
  </si>
  <si>
    <t>G30</t>
  </si>
  <si>
    <t>2030 DSO HV→LV delivery (TWh)</t>
  </si>
  <si>
    <t>weighted -min(p1,0) on costed DSO links</t>
  </si>
  <si>
    <t>Overwrites formula G29*$B$31 so the 80% DSO-share is NOT applied to PyPSA.</t>
  </si>
  <si>
    <t>H30</t>
  </si>
  <si>
    <t>2040 DSO HV→LV delivery (TWh)</t>
  </si>
  <si>
    <t>same</t>
  </si>
  <si>
    <t>Same 80% caveat.</t>
  </si>
  <si>
    <t>G35 / H35</t>
  </si>
  <si>
    <t>Direct DSO tariff = MAR × 1000 / TWh DSO</t>
  </si>
  <si>
    <t>L22 / V22 and G30 / H30</t>
  </si>
  <si>
    <t>This is allowable revenue / distributed electricity. Original G34/H34 still use the 2020-revenue scaling method.</t>
  </si>
  <si>
    <t>B8,B9,B11,B12,B13,B17:G17,F29,F30,I29,I30,B29</t>
  </si>
  <si>
    <t>Original Excel assumptions</t>
  </si>
  <si>
    <t>WACC 5.4%, lifetime 42, starting RAB 700 bn, OPEX method, 2020 volumes, today's 53 EUR/MWh.</t>
  </si>
  <si>
    <t>Rows 16,18-24</t>
  </si>
  <si>
    <t>(formulas unchanged)</t>
  </si>
  <si>
    <t>Opening RAB, depreciation, new RAB, MAR, OPEX, ratios.</t>
  </si>
  <si>
    <t>Original_Sheet1 / Sheet1</t>
  </si>
  <si>
    <t>(all)</t>
  </si>
  <si>
    <t>(untouched copy of the original model)</t>
  </si>
  <si>
    <t>Original workbook</t>
  </si>
  <si>
    <t>Original Excel result; do not use for PyPSA cases.</t>
  </si>
  <si>
    <t>INPUT</t>
  </si>
  <si>
    <t>CALC</t>
  </si>
  <si>
    <t>Simplified model of DSO allowable revenue for Europe</t>
  </si>
  <si>
    <t>Max allowable revenue</t>
  </si>
  <si>
    <t>(RAB*WACC)+Depreciation+ OPEX</t>
  </si>
  <si>
    <t>WACC</t>
  </si>
  <si>
    <t>Average Asset Lifetime</t>
  </si>
  <si>
    <t>Verbal Input on Share of CAPEX in allowance revenue</t>
  </si>
  <si>
    <t>Depreciation rate</t>
  </si>
  <si>
    <t>Germany</t>
  </si>
  <si>
    <t>Italy</t>
  </si>
  <si>
    <t>Ireland</t>
  </si>
  <si>
    <t>Portugal</t>
  </si>
  <si>
    <t>Share of CAPEX in allowable revenue</t>
  </si>
  <si>
    <t>OPEX Growth</t>
  </si>
  <si>
    <t>Starting RAB Europe</t>
  </si>
  <si>
    <t>B EUR</t>
  </si>
  <si>
    <t>Opening RAB</t>
  </si>
  <si>
    <t>CAPEX addition</t>
  </si>
  <si>
    <t>Depreciation</t>
  </si>
  <si>
    <t>New RAB</t>
  </si>
  <si>
    <t>Max allowable Revenue CAPEX</t>
  </si>
  <si>
    <t>OPEX</t>
  </si>
  <si>
    <t>Max allowable Revenue</t>
  </si>
  <si>
    <t>Ratio tariff impact (normalised to 2020)</t>
  </si>
  <si>
    <t>Price impact calculation</t>
  </si>
  <si>
    <t>today's distribution tariff</t>
  </si>
  <si>
    <t>EUR/MWh</t>
  </si>
  <si>
    <t>TWh</t>
  </si>
  <si>
    <t>2020 elec consumption</t>
  </si>
  <si>
    <t>TWh DSO</t>
  </si>
  <si>
    <t>Assumption DSO share consumption</t>
  </si>
  <si>
    <t>Ratio Consumption</t>
  </si>
  <si>
    <t>Estimated DSO revenue</t>
  </si>
  <si>
    <t>billion EUR</t>
  </si>
  <si>
    <t>Ratio revenue</t>
  </si>
  <si>
    <t>Check error against Max Allowable Revenue from revenue model</t>
  </si>
  <si>
    <t>revenue</t>
  </si>
  <si>
    <t>distribution charges (EUR/MWh)</t>
  </si>
  <si>
    <t>Verbal Input on share of distribution consumption in national total</t>
  </si>
  <si>
    <t>France</t>
  </si>
  <si>
    <t xml:space="preserve">Share of electricity </t>
  </si>
  <si>
    <t>Eurostat - T&amp;D tariff</t>
  </si>
  <si>
    <t>Direct DSO tariff MAR/TWh (EUR/MWh)</t>
  </si>
  <si>
    <t>PyPSA scenario Build: Build CAPEX = original Excel trajectory. This sheet CAPEX 2026-2030 = Excel × 1.0000; 2031-2040 = Excel × 1.0000 (PyPSA DSO overnight / Build). Absolute PyPSA overnight is not injected. G30/H30 are scenario HV→LV TWh (no 80% factor). 2020-2025 and 2041+ CAPEX unchanged. RAB/WACC/OPEX formulas unchanged.</t>
  </si>
  <si>
    <t>PyPSA scenario 85%: Build CAPEX = original Excel trajectory. This sheet CAPEX 2026-2030 = Excel × 0.8500; 2031-2040 = Excel × 0.8499 (PyPSA DSO overnight / Build). Absolute PyPSA overnight is not injected. G30/H30 are scenario HV→LV TWh (no 80% factor). 2020-2025 and 2041+ CAPEX unchanged. RAB/WACC/OPEX formulas unchanged.</t>
  </si>
  <si>
    <t>PyPSA scenario 75%: Build CAPEX = original Excel trajectory. This sheet CAPEX 2026-2030 = Excel × 0.7500; 2031-2040 = Excel × 0.7500 (PyPSA DSO overnight / Build). Absolute PyPSA overnight is not injected. G30/H30 are scenario HV→LV TWh (no 80% factor). 2020-2025 and 2041+ CAPEX unchanged. RAB/WACC/OPEX formulas unchanged.</t>
  </si>
  <si>
    <t>PyPSA scenario 65%: Build CAPEX = original Excel trajectory. This sheet CAPEX 2026-2030 = Excel × 0.6500; 2031-2040 = Excel × 0.6500 (PyPSA DSO overnight / Build). Absolute PyPSA overnight is not injected. G30/H30 are scenario HV→LV TWh (no 80% factor). 2020-2025 and 2041+ CAPEX unchanged. RAB/WACC/OPEX formulas unchanged.</t>
  </si>
  <si>
    <t>PyPSA scenario 50%: Build CAPEX = original Excel trajectory. This sheet CAPEX 2026-2030 = Excel × 0.5000; 2031-2040 = Excel × 0.5000 (PyPSA DSO overnight / Build). Absolute PyPSA overnight is not injected. G30/H30 are scenario HV→LV TWh (no 80% factor). 2020-2025 and 2041+ CAPEX unchanged. RAB/WACC/OPEX formulas unchanged.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</si>
</sst>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1" fontId="0" fillId="3" borderId="0" xfId="0" applyNumberFormat="1" applyFill="1"/>
    <xf numFmtId="0" fontId="2" fillId="4" borderId="0" xfId="0" applyFont="1" applyFill="1"/>
    <xf numFmtId="164" fontId="0" fillId="2" borderId="0" xfId="1" applyNumberFormat="1" applyFont="1" applyFill="1"/>
    <xf numFmtId="164" fontId="0" fillId="3" borderId="0" xfId="1" applyNumberFormat="1" applyFont="1" applyFill="1"/>
    <xf numFmtId="0" fontId="2" fillId="5" borderId="0" xfId="0" applyFont="1" applyFill="1"/>
    <xf numFmtId="2" fontId="0" fillId="5" borderId="0" xfId="0" applyNumberFormat="1" applyFill="1"/>
    <xf numFmtId="9" fontId="0" fillId="2" borderId="0" xfId="1" applyFont="1" applyFill="1"/>
    <xf numFmtId="1" fontId="0" fillId="2" borderId="0" xfId="0" applyNumberFormat="1" applyFill="1"/>
    <xf numFmtId="2" fontId="0" fillId="0" borderId="0" xfId="0" applyNumberFormat="1"/>
    <xf numFmtId="2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0" fontId="3" fillId="9" borderId="0" xfId="0" applyFont="1" applyFill="1"/>
    <xf numFmtId="0" fontId="4" fillId="9" borderId="0" xfId="0" applyFont="1" applyFill="1"/>
    <xf numFmtId="9" fontId="0" fillId="0" borderId="0" xfId="1" applyFont="1"/>
    <xf numFmtId="0" fontId="5" fillId="0" borderId="0" xfId="0" applyFont="1"/>
    <xf numFmtId="9" fontId="5" fillId="0" borderId="0" xfId="1" applyFont="1"/>
    <xf numFmtId="2" fontId="0" fillId="7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Sheet1!$F$36:$I$36</c:f>
              <c:numCache>
                <c:formatCode>General</c:formatCode>
                <c:ptCount val="4"/>
                <c:pt idx="0">
                  <c:v>2018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Sheet1!$F$31:$I$31</c:f>
              <c:numCache>
                <c:formatCode>0.00</c:formatCode>
                <c:ptCount val="4"/>
                <c:pt idx="0">
                  <c:v>1</c:v>
                </c:pt>
                <c:pt idx="1">
                  <c:v>1.437213321852074</c:v>
                </c:pt>
                <c:pt idx="2">
                  <c:v>1.6172609755976488</c:v>
                </c:pt>
                <c:pt idx="3">
                  <c:v>1.7879232928784845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0-4799-A912-DFF93FAA2AF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Sheet1!$F$36:$I$36</c:f>
              <c:numCache>
                <c:formatCode>General</c:formatCode>
                <c:ptCount val="4"/>
                <c:pt idx="0">
                  <c:v>2018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Sheet1!$F$32:$I$32</c:f>
              <c:numCache>
                <c:formatCode>0.00</c:formatCode>
                <c:ptCount val="4"/>
                <c:pt idx="0">
                  <c:v>1</c:v>
                </c:pt>
                <c:pt idx="1">
                  <c:v>1.3010337105383805</c:v>
                </c:pt>
                <c:pt idx="2">
                  <c:v>1.5877730009711892</c:v>
                </c:pt>
                <c:pt idx="3">
                  <c:v>1.822734359294921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0-4799-A912-DFF93FAA2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968447"/>
        <c:axId val="779046431"/>
      </c:lineChart>
      <c:catAx>
        <c:axId val="8729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046431"/>
        <c:crosses val="autoZero"/>
        <c:auto val="1"/>
        <c:lblAlgn val="ctr"/>
        <c:lblOffset val="100"/>
        <c:noMultiLvlLbl val="0"/>
      </c:catAx>
      <c:valAx>
        <c:axId val="7790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relative change (2018=1)</a:t>
                </a:r>
                <a:endParaRPr lang="en-GB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96844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'Sheet1 (2)'!$F$36:$I$36</c:f>
              <c:numCache>
                <c:formatCode>General</c:formatCode>
                <c:ptCount val="4"/>
                <c:pt idx="0">
                  <c:v>2018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'Sheet1 (2)'!$F$31:$I$31</c:f>
              <c:numCache>
                <c:formatCode>0.00</c:formatCode>
                <c:ptCount val="4"/>
                <c:pt idx="0">
                  <c:v>1</c:v>
                </c:pt>
                <c:pt idx="1">
                  <c:v>1.437213321852074</c:v>
                </c:pt>
                <c:pt idx="2">
                  <c:v>1.6172609755976488</c:v>
                </c:pt>
                <c:pt idx="3">
                  <c:v>1.7879232928784845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B-4CA4-B31E-032514C4F3D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'Sheet1 (2)'!$F$36:$I$36</c:f>
              <c:numCache>
                <c:formatCode>General</c:formatCode>
                <c:ptCount val="4"/>
                <c:pt idx="0">
                  <c:v>2018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'Sheet1 (2)'!$F$32:$I$32</c:f>
              <c:numCache>
                <c:formatCode>0.00</c:formatCode>
                <c:ptCount val="4"/>
                <c:pt idx="0">
                  <c:v>1</c:v>
                </c:pt>
                <c:pt idx="1">
                  <c:v>1.2992202773779853</c:v>
                </c:pt>
                <c:pt idx="2">
                  <c:v>1.6412021665423422</c:v>
                </c:pt>
                <c:pt idx="3">
                  <c:v>1.8543482336050894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CB-4CA4-B31E-032514C4F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968447"/>
        <c:axId val="779046431"/>
      </c:lineChart>
      <c:catAx>
        <c:axId val="8729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046431"/>
        <c:crosses val="autoZero"/>
        <c:auto val="1"/>
        <c:lblAlgn val="ctr"/>
        <c:lblOffset val="100"/>
        <c:noMultiLvlLbl val="0"/>
      </c:catAx>
      <c:valAx>
        <c:axId val="7790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relative change (2018=1)</a:t>
                </a:r>
                <a:endParaRPr lang="en-GB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96844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262284</xdr:colOff>
      <xdr:row>36</xdr:row>
      <xdr:rowOff>45908</xdr:rowOff>
    </xdr:from>
    <xdr:to>
      <xdr:col>20</xdr:col>
      <xdr:colOff>582545</xdr:colOff>
      <xdr:row>51</xdr:row>
      <xdr:rowOff>55848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82037</xdr:colOff>
      <xdr:row>24</xdr:row>
      <xdr:rowOff>39022</xdr:rowOff>
    </xdr:from>
    <xdr:to>
      <xdr:col>20</xdr:col>
      <xdr:colOff>407505</xdr:colOff>
      <xdr:row>36</xdr:row>
      <xdr:rowOff>121027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444001" y="4611022"/>
          <a:ext cx="3393425" cy="236800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262284</xdr:colOff>
      <xdr:row>36</xdr:row>
      <xdr:rowOff>45908</xdr:rowOff>
    </xdr:from>
    <xdr:to>
      <xdr:col>20</xdr:col>
      <xdr:colOff>582545</xdr:colOff>
      <xdr:row>51</xdr:row>
      <xdr:rowOff>55848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82037</xdr:colOff>
      <xdr:row>24</xdr:row>
      <xdr:rowOff>39022</xdr:rowOff>
    </xdr:from>
    <xdr:to>
      <xdr:col>20</xdr:col>
      <xdr:colOff>407505</xdr:colOff>
      <xdr:row>36</xdr:row>
      <xdr:rowOff>121027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572362" y="4382422"/>
          <a:ext cx="3370293" cy="225370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workbookViewId="0"/>
  </sheetViews>
  <sheetFormatPr defaultRowHeight="15" x14ac:dyDescent="0.25"/>
  <cols>
    <col min="6" max="6" width="33.28515625" customWidth="1"/>
  </cols>
  <sheetData>
    <row r="1" spans="1:27" x14ac:dyDescent="0.25">
      <c r="A1" t="s">
        <v>0</v>
      </c>
    </row>
    <row r="2" spans="1:27" x14ac:dyDescent="0.25">
      <c r="A2" t="s">
        <v>1</v>
      </c>
    </row>
    <row r="4" spans="1:2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</row>
    <row r="5" spans="1:27" x14ac:dyDescent="0.25">
      <c r="A5" t="s">
        <v>29</v>
      </c>
      <c r="B5" t="s">
        <v>30</v>
      </c>
      <c r="C5">
        <v>1</v>
      </c>
      <c r="D5">
        <v>2030</v>
      </c>
      <c r="E5">
        <v>37</v>
      </c>
      <c r="F5">
        <v>483.255225</v>
      </c>
      <c r="G5">
        <v>483.255225</v>
      </c>
      <c r="H5">
        <v>667901.6</v>
      </c>
      <c r="I5">
        <v>322766938264.31403</v>
      </c>
      <c r="J5">
        <v>322.76693799999998</v>
      </c>
      <c r="K5">
        <v>30.665808999999999</v>
      </c>
      <c r="L5">
        <v>63456.755868</v>
      </c>
      <c r="M5">
        <v>40</v>
      </c>
      <c r="N5">
        <v>2</v>
      </c>
      <c r="O5">
        <v>7.0000000000000007E-2</v>
      </c>
      <c r="P5">
        <v>2015</v>
      </c>
      <c r="Q5">
        <v>3082.403476</v>
      </c>
      <c r="R5">
        <v>2875.528793</v>
      </c>
      <c r="S5">
        <v>630.73093200000005</v>
      </c>
      <c r="T5">
        <v>113.39449500000001</v>
      </c>
      <c r="U5">
        <v>186.41399899999999</v>
      </c>
      <c r="V5">
        <v>3806.0682190000002</v>
      </c>
      <c r="W5">
        <v>3806.0676579999999</v>
      </c>
      <c r="X5">
        <v>5.6099999999999998E-4</v>
      </c>
      <c r="Y5">
        <v>722.26630399999999</v>
      </c>
      <c r="Z5">
        <v>8.0570850000000007</v>
      </c>
      <c r="AA5">
        <v>9.6574980000000004</v>
      </c>
    </row>
    <row r="6" spans="1:27" x14ac:dyDescent="0.25">
      <c r="A6" t="s">
        <v>31</v>
      </c>
      <c r="B6" t="s">
        <v>32</v>
      </c>
      <c r="C6">
        <v>0.85</v>
      </c>
      <c r="D6">
        <v>2030</v>
      </c>
      <c r="E6">
        <v>37</v>
      </c>
      <c r="F6">
        <v>410.76756899999998</v>
      </c>
      <c r="G6">
        <v>410.76756899999998</v>
      </c>
      <c r="H6">
        <v>667901.6</v>
      </c>
      <c r="I6">
        <v>274352316376.9057</v>
      </c>
      <c r="J6">
        <v>274.35231599999997</v>
      </c>
      <c r="K6">
        <v>26.065977</v>
      </c>
      <c r="L6">
        <v>63456.755868</v>
      </c>
      <c r="M6">
        <v>40</v>
      </c>
      <c r="N6">
        <v>2</v>
      </c>
      <c r="O6">
        <v>7.0000000000000007E-2</v>
      </c>
      <c r="P6">
        <v>2015</v>
      </c>
      <c r="Q6">
        <v>2846.5799400000001</v>
      </c>
      <c r="R6">
        <v>2875.528793</v>
      </c>
      <c r="S6">
        <v>501.30238800000001</v>
      </c>
      <c r="T6">
        <v>107.18263899999999</v>
      </c>
      <c r="U6">
        <v>189.20172199999999</v>
      </c>
      <c r="V6">
        <v>3673.2155419999999</v>
      </c>
      <c r="W6">
        <v>3673.2149370000002</v>
      </c>
      <c r="X6">
        <v>6.0499999999999996E-4</v>
      </c>
      <c r="Y6">
        <v>819.69751299999996</v>
      </c>
      <c r="Z6">
        <v>7.0962300000000003</v>
      </c>
      <c r="AA6">
        <v>8.2177480000000003</v>
      </c>
    </row>
    <row r="7" spans="1:27" x14ac:dyDescent="0.25">
      <c r="A7" t="s">
        <v>33</v>
      </c>
      <c r="B7" t="s">
        <v>34</v>
      </c>
      <c r="C7">
        <v>0.75</v>
      </c>
      <c r="D7">
        <v>2030</v>
      </c>
      <c r="E7">
        <v>37</v>
      </c>
      <c r="F7">
        <v>362.45150999999998</v>
      </c>
      <c r="G7">
        <v>362.45150999999998</v>
      </c>
      <c r="H7">
        <v>667901.6</v>
      </c>
      <c r="I7">
        <v>242081943461.6116</v>
      </c>
      <c r="J7">
        <v>242.081943</v>
      </c>
      <c r="K7">
        <v>22.999997</v>
      </c>
      <c r="L7">
        <v>63456.755868</v>
      </c>
      <c r="M7">
        <v>40</v>
      </c>
      <c r="N7">
        <v>2</v>
      </c>
      <c r="O7">
        <v>7.0000000000000007E-2</v>
      </c>
      <c r="P7">
        <v>2015</v>
      </c>
      <c r="Q7">
        <v>2541.897097</v>
      </c>
      <c r="R7">
        <v>2875.528793</v>
      </c>
      <c r="S7">
        <v>438.33319599999999</v>
      </c>
      <c r="T7">
        <v>132.07440500000001</v>
      </c>
      <c r="U7">
        <v>179.75594000000001</v>
      </c>
      <c r="V7">
        <v>3625.6923339999998</v>
      </c>
      <c r="W7">
        <v>3625.5984410000001</v>
      </c>
      <c r="X7">
        <v>9.3894000000000005E-2</v>
      </c>
      <c r="Y7">
        <v>1092.1809969999999</v>
      </c>
      <c r="Z7">
        <v>6.3437789999999996</v>
      </c>
      <c r="AA7">
        <v>7.2162170000000003</v>
      </c>
    </row>
    <row r="8" spans="1:27" x14ac:dyDescent="0.25">
      <c r="A8" t="s">
        <v>35</v>
      </c>
      <c r="B8" t="s">
        <v>36</v>
      </c>
      <c r="C8">
        <v>0.65</v>
      </c>
      <c r="D8">
        <v>2030</v>
      </c>
      <c r="E8">
        <v>37</v>
      </c>
      <c r="F8">
        <v>314.11942099999999</v>
      </c>
      <c r="G8">
        <v>314.11942099999999</v>
      </c>
      <c r="H8">
        <v>667901.6</v>
      </c>
      <c r="I8">
        <v>209800863646.1051</v>
      </c>
      <c r="J8">
        <v>209.80086399999999</v>
      </c>
      <c r="K8">
        <v>19.932998999999999</v>
      </c>
      <c r="L8">
        <v>63456.755868</v>
      </c>
      <c r="M8">
        <v>40</v>
      </c>
      <c r="N8">
        <v>2</v>
      </c>
      <c r="O8">
        <v>7.0000000000000007E-2</v>
      </c>
      <c r="P8">
        <v>2015</v>
      </c>
      <c r="Q8">
        <v>2364.0228259999999</v>
      </c>
      <c r="R8">
        <v>2875.528793</v>
      </c>
      <c r="S8">
        <v>378.94117499999999</v>
      </c>
      <c r="T8">
        <v>83.059970000000007</v>
      </c>
      <c r="U8">
        <v>162.333294</v>
      </c>
      <c r="V8">
        <v>3499.863233</v>
      </c>
      <c r="W8">
        <v>3498.7911549999999</v>
      </c>
      <c r="X8">
        <v>1.0720780000000001</v>
      </c>
      <c r="Y8">
        <v>1158.936557</v>
      </c>
      <c r="Z8">
        <v>5.6971100000000003</v>
      </c>
      <c r="AA8">
        <v>6.3890890000000002</v>
      </c>
    </row>
    <row r="9" spans="1:27" x14ac:dyDescent="0.25">
      <c r="A9" t="s">
        <v>37</v>
      </c>
      <c r="B9" t="s">
        <v>38</v>
      </c>
      <c r="C9">
        <v>0.5</v>
      </c>
      <c r="D9">
        <v>2030</v>
      </c>
      <c r="E9">
        <v>37</v>
      </c>
      <c r="F9">
        <v>241.62911700000001</v>
      </c>
      <c r="G9">
        <v>241.62911700000001</v>
      </c>
      <c r="H9">
        <v>667901.6</v>
      </c>
      <c r="I9">
        <v>161384473564.79779</v>
      </c>
      <c r="J9">
        <v>161.38447400000001</v>
      </c>
      <c r="K9">
        <v>15.333</v>
      </c>
      <c r="L9">
        <v>63456.755868</v>
      </c>
      <c r="M9">
        <v>40</v>
      </c>
      <c r="N9">
        <v>2</v>
      </c>
      <c r="O9">
        <v>7.0000000000000007E-2</v>
      </c>
      <c r="P9">
        <v>2015</v>
      </c>
      <c r="Q9">
        <v>2041.0809650000001</v>
      </c>
      <c r="R9">
        <v>2875.528793</v>
      </c>
      <c r="S9">
        <v>287.35870699999998</v>
      </c>
      <c r="T9">
        <v>16.742524</v>
      </c>
      <c r="U9">
        <v>107.039006</v>
      </c>
      <c r="V9">
        <v>3286.6690309999999</v>
      </c>
      <c r="W9">
        <v>3178.2886060000001</v>
      </c>
      <c r="X9">
        <v>108.380424</v>
      </c>
      <c r="Y9">
        <v>1160.8741500000001</v>
      </c>
      <c r="Z9">
        <v>4.8242940000000001</v>
      </c>
      <c r="AA9">
        <v>5.3038299999999996</v>
      </c>
    </row>
    <row r="10" spans="1:27" x14ac:dyDescent="0.25">
      <c r="A10" t="s">
        <v>29</v>
      </c>
      <c r="B10" t="s">
        <v>30</v>
      </c>
      <c r="C10">
        <v>1</v>
      </c>
      <c r="D10">
        <v>2040</v>
      </c>
      <c r="E10">
        <v>74</v>
      </c>
      <c r="F10">
        <v>223.529135</v>
      </c>
      <c r="G10">
        <v>706.78435999999999</v>
      </c>
      <c r="H10">
        <v>667901.6</v>
      </c>
      <c r="I10">
        <v>149295466702.6022</v>
      </c>
      <c r="J10">
        <v>149.295467</v>
      </c>
      <c r="K10">
        <v>14.184434</v>
      </c>
      <c r="L10">
        <v>63456.755868</v>
      </c>
      <c r="M10">
        <v>40</v>
      </c>
      <c r="N10">
        <v>2</v>
      </c>
      <c r="O10">
        <v>7.0000000000000007E-2</v>
      </c>
      <c r="P10">
        <v>2015</v>
      </c>
      <c r="Q10">
        <v>3927.2037099999998</v>
      </c>
      <c r="R10">
        <v>3297.5119239999999</v>
      </c>
      <c r="S10">
        <v>876.79469099999994</v>
      </c>
      <c r="T10">
        <v>280.25990400000001</v>
      </c>
      <c r="U10">
        <v>503.97396099999997</v>
      </c>
      <c r="V10">
        <v>4958.5404799999997</v>
      </c>
      <c r="W10">
        <v>4958.5401140000004</v>
      </c>
      <c r="X10">
        <v>3.6600000000000001E-4</v>
      </c>
      <c r="Y10">
        <v>1025.653002</v>
      </c>
      <c r="Z10">
        <v>9.0450499999999998</v>
      </c>
      <c r="AA10">
        <v>10.988006</v>
      </c>
    </row>
    <row r="11" spans="1:27" x14ac:dyDescent="0.25">
      <c r="A11" t="s">
        <v>31</v>
      </c>
      <c r="B11" t="s">
        <v>32</v>
      </c>
      <c r="C11">
        <v>0.85</v>
      </c>
      <c r="D11">
        <v>2040</v>
      </c>
      <c r="E11">
        <v>74</v>
      </c>
      <c r="F11">
        <v>189.98762500000001</v>
      </c>
      <c r="G11">
        <v>600.75519399999996</v>
      </c>
      <c r="H11">
        <v>667901.6</v>
      </c>
      <c r="I11">
        <v>126893039034.8177</v>
      </c>
      <c r="J11">
        <v>126.893039</v>
      </c>
      <c r="K11">
        <v>12.055998000000001</v>
      </c>
      <c r="L11">
        <v>63456.755868</v>
      </c>
      <c r="M11">
        <v>40</v>
      </c>
      <c r="N11">
        <v>2</v>
      </c>
      <c r="O11">
        <v>7.0000000000000007E-2</v>
      </c>
      <c r="P11">
        <v>2015</v>
      </c>
      <c r="Q11">
        <v>3735.2675979999999</v>
      </c>
      <c r="R11">
        <v>3297.5119239999999</v>
      </c>
      <c r="S11">
        <v>851.112438</v>
      </c>
      <c r="T11">
        <v>192.12491</v>
      </c>
      <c r="U11">
        <v>498.59914400000002</v>
      </c>
      <c r="V11">
        <v>4839.3484159999998</v>
      </c>
      <c r="W11">
        <v>4839.348078</v>
      </c>
      <c r="X11">
        <v>3.3799999999999998E-4</v>
      </c>
      <c r="Y11">
        <v>1101.4285669999999</v>
      </c>
      <c r="Z11">
        <v>7.8775019999999998</v>
      </c>
      <c r="AA11">
        <v>9.5586070000000003</v>
      </c>
    </row>
    <row r="12" spans="1:27" x14ac:dyDescent="0.25">
      <c r="A12" t="s">
        <v>33</v>
      </c>
      <c r="B12" t="s">
        <v>34</v>
      </c>
      <c r="C12">
        <v>0.75</v>
      </c>
      <c r="D12">
        <v>2040</v>
      </c>
      <c r="E12">
        <v>74</v>
      </c>
      <c r="F12">
        <v>167.64171200000001</v>
      </c>
      <c r="G12">
        <v>530.09322199999997</v>
      </c>
      <c r="H12">
        <v>667901.6</v>
      </c>
      <c r="I12">
        <v>111968167759.06239</v>
      </c>
      <c r="J12">
        <v>111.96816800000001</v>
      </c>
      <c r="K12">
        <v>10.637999000000001</v>
      </c>
      <c r="L12">
        <v>63456.755868</v>
      </c>
      <c r="M12">
        <v>40</v>
      </c>
      <c r="N12">
        <v>2</v>
      </c>
      <c r="O12">
        <v>7.0000000000000007E-2</v>
      </c>
      <c r="P12">
        <v>2015</v>
      </c>
      <c r="Q12">
        <v>3536.5811330000001</v>
      </c>
      <c r="R12">
        <v>3297.5119239999999</v>
      </c>
      <c r="S12">
        <v>784.04466500000001</v>
      </c>
      <c r="T12">
        <v>114.2403</v>
      </c>
      <c r="U12">
        <v>486.74575700000003</v>
      </c>
      <c r="V12">
        <v>4682.5426459999999</v>
      </c>
      <c r="W12">
        <v>4682.5422179999996</v>
      </c>
      <c r="X12">
        <v>4.28E-4</v>
      </c>
      <c r="Y12">
        <v>1155.5472090000001</v>
      </c>
      <c r="Z12">
        <v>7.1837039999999996</v>
      </c>
      <c r="AA12">
        <v>8.6284510000000001</v>
      </c>
    </row>
    <row r="13" spans="1:27" x14ac:dyDescent="0.25">
      <c r="A13" t="s">
        <v>35</v>
      </c>
      <c r="B13" t="s">
        <v>36</v>
      </c>
      <c r="C13">
        <v>0.65</v>
      </c>
      <c r="D13">
        <v>2040</v>
      </c>
      <c r="E13">
        <v>74</v>
      </c>
      <c r="F13">
        <v>145.295717</v>
      </c>
      <c r="G13">
        <v>459.41513800000001</v>
      </c>
      <c r="H13">
        <v>667901.6</v>
      </c>
      <c r="I13">
        <v>97043241758.294189</v>
      </c>
      <c r="J13">
        <v>97.043242000000006</v>
      </c>
      <c r="K13">
        <v>9.2199950000000008</v>
      </c>
      <c r="L13">
        <v>63456.755868</v>
      </c>
      <c r="M13">
        <v>40</v>
      </c>
      <c r="N13">
        <v>2</v>
      </c>
      <c r="O13">
        <v>7.0000000000000007E-2</v>
      </c>
      <c r="P13">
        <v>2015</v>
      </c>
      <c r="Q13">
        <v>3331.3120530000001</v>
      </c>
      <c r="R13">
        <v>3297.5119239999999</v>
      </c>
      <c r="S13">
        <v>644.66382599999997</v>
      </c>
      <c r="T13">
        <v>52.344743000000001</v>
      </c>
      <c r="U13">
        <v>470.97871800000001</v>
      </c>
      <c r="V13">
        <v>4465.4992110000003</v>
      </c>
      <c r="W13">
        <v>4465.4988489999996</v>
      </c>
      <c r="X13">
        <v>3.6099999999999999E-4</v>
      </c>
      <c r="Y13">
        <v>1160.6005849999999</v>
      </c>
      <c r="Z13">
        <v>6.5284969999999998</v>
      </c>
      <c r="AA13">
        <v>7.6300059999999998</v>
      </c>
    </row>
    <row r="14" spans="1:27" x14ac:dyDescent="0.25">
      <c r="A14" t="s">
        <v>37</v>
      </c>
      <c r="B14" t="s">
        <v>38</v>
      </c>
      <c r="C14">
        <v>0.5</v>
      </c>
      <c r="D14">
        <v>2040</v>
      </c>
      <c r="E14">
        <v>74</v>
      </c>
      <c r="F14">
        <v>111.76115</v>
      </c>
      <c r="G14">
        <v>353.390266</v>
      </c>
      <c r="H14">
        <v>667901.6</v>
      </c>
      <c r="I14">
        <v>74645450817.063614</v>
      </c>
      <c r="J14">
        <v>74.645450999999994</v>
      </c>
      <c r="K14">
        <v>7.0919999999999996</v>
      </c>
      <c r="L14">
        <v>63456.755868</v>
      </c>
      <c r="M14">
        <v>40</v>
      </c>
      <c r="N14">
        <v>2</v>
      </c>
      <c r="O14">
        <v>7.0000000000000007E-2</v>
      </c>
      <c r="P14">
        <v>2015</v>
      </c>
      <c r="Q14">
        <v>2995.9774860000002</v>
      </c>
      <c r="R14">
        <v>3297.5119239999999</v>
      </c>
      <c r="S14">
        <v>472.926804</v>
      </c>
      <c r="T14">
        <v>2.2228949999999998</v>
      </c>
      <c r="U14">
        <v>390.030845</v>
      </c>
      <c r="V14">
        <v>4162.6924680000002</v>
      </c>
      <c r="W14">
        <v>4127.3323360000004</v>
      </c>
      <c r="X14">
        <v>35.360132999999998</v>
      </c>
      <c r="Y14">
        <v>1160.8979529999999</v>
      </c>
      <c r="Z14">
        <v>5.4332919999999998</v>
      </c>
      <c r="AA14">
        <v>6.1364289999999997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sheetData>
    <row r="1" spans="1: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</row>
    <row r="3" spans="1:5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</row>
    <row r="4" spans="1:5" x14ac:dyDescent="0.25">
      <c r="A4" t="s">
        <v>49</v>
      </c>
      <c r="B4" t="s">
        <v>54</v>
      </c>
      <c r="C4" t="s">
        <v>55</v>
      </c>
      <c r="D4" t="s">
        <v>52</v>
      </c>
      <c r="E4" t="s">
        <v>56</v>
      </c>
    </row>
    <row r="5" spans="1:5" x14ac:dyDescent="0.25">
      <c r="A5" t="s">
        <v>57</v>
      </c>
      <c r="B5" t="s">
        <v>58</v>
      </c>
      <c r="C5" t="s">
        <v>59</v>
      </c>
      <c r="D5" t="s">
        <v>60</v>
      </c>
      <c r="E5" t="s">
        <v>61</v>
      </c>
    </row>
    <row r="6" spans="1:5" x14ac:dyDescent="0.25">
      <c r="A6" t="s">
        <v>57</v>
      </c>
      <c r="B6" t="s">
        <v>62</v>
      </c>
      <c r="C6" t="s">
        <v>63</v>
      </c>
      <c r="D6" t="s">
        <v>60</v>
      </c>
      <c r="E6" t="s">
        <v>64</v>
      </c>
    </row>
    <row r="7" spans="1:5" x14ac:dyDescent="0.25">
      <c r="A7" t="s">
        <v>57</v>
      </c>
      <c r="B7" t="s">
        <v>65</v>
      </c>
      <c r="C7" t="s">
        <v>66</v>
      </c>
      <c r="D7" t="s">
        <v>67</v>
      </c>
      <c r="E7" t="s">
        <v>68</v>
      </c>
    </row>
    <row r="8" spans="1:5" x14ac:dyDescent="0.25">
      <c r="A8" t="s">
        <v>57</v>
      </c>
      <c r="B8" t="s">
        <v>69</v>
      </c>
      <c r="C8" t="s">
        <v>70</v>
      </c>
      <c r="D8" t="s">
        <v>71</v>
      </c>
      <c r="E8" t="s">
        <v>72</v>
      </c>
    </row>
    <row r="9" spans="1:5" x14ac:dyDescent="0.25">
      <c r="A9" t="s">
        <v>57</v>
      </c>
      <c r="B9" t="s">
        <v>73</v>
      </c>
      <c r="C9" t="s">
        <v>74</v>
      </c>
      <c r="D9" t="s">
        <v>75</v>
      </c>
      <c r="E9" t="s">
        <v>76</v>
      </c>
    </row>
    <row r="10" spans="1:5" x14ac:dyDescent="0.25">
      <c r="A10" t="s">
        <v>57</v>
      </c>
      <c r="B10" t="s">
        <v>77</v>
      </c>
      <c r="C10" t="s">
        <v>59</v>
      </c>
      <c r="D10" t="s">
        <v>78</v>
      </c>
      <c r="E10" t="s">
        <v>79</v>
      </c>
    </row>
    <row r="11" spans="1:5" x14ac:dyDescent="0.25">
      <c r="A11" t="s">
        <v>57</v>
      </c>
      <c r="B11" t="s">
        <v>80</v>
      </c>
      <c r="C11" t="s">
        <v>81</v>
      </c>
      <c r="D11" t="s">
        <v>60</v>
      </c>
      <c r="E11" t="s">
        <v>82</v>
      </c>
    </row>
    <row r="12" spans="1:5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8"/>
  <sheetViews>
    <sheetView topLeftCell="A4" zoomScale="70" zoomScaleNormal="70" workbookViewId="0"/>
  </sheetViews>
  <sheetFormatPr defaultRowHeight="15" x14ac:dyDescent="0.25"/>
  <cols>
    <col min="1" max="1" width="39.140625" customWidth="1"/>
    <col min="2" max="2" width="11.85546875" bestFit="1" customWidth="1"/>
  </cols>
  <sheetData>
    <row r="1" spans="1:47" x14ac:dyDescent="0.25">
      <c r="B1" s="2" t="s">
        <v>88</v>
      </c>
    </row>
    <row r="2" spans="1:47" x14ac:dyDescent="0.25">
      <c r="B2" s="3" t="s">
        <v>89</v>
      </c>
    </row>
    <row r="4" spans="1:47" x14ac:dyDescent="0.25">
      <c r="A4" s="16" t="s">
        <v>90</v>
      </c>
      <c r="B4" s="16"/>
      <c r="C4" s="16"/>
      <c r="D4" s="16"/>
      <c r="E4" s="16"/>
      <c r="F4" s="16"/>
      <c r="G4" s="16"/>
      <c r="H4" s="16"/>
      <c r="I4" s="16"/>
    </row>
    <row r="6" spans="1:47" x14ac:dyDescent="0.25">
      <c r="A6" t="s">
        <v>91</v>
      </c>
      <c r="B6" t="s">
        <v>92</v>
      </c>
    </row>
    <row r="8" spans="1:47" x14ac:dyDescent="0.25">
      <c r="A8" s="1" t="s">
        <v>93</v>
      </c>
      <c r="B8" s="6">
        <v>5.3999999999999999E-2</v>
      </c>
    </row>
    <row r="9" spans="1:47" x14ac:dyDescent="0.25">
      <c r="A9" s="1" t="s">
        <v>94</v>
      </c>
      <c r="B9" s="2">
        <v>42</v>
      </c>
      <c r="E9" t="s">
        <v>95</v>
      </c>
    </row>
    <row r="10" spans="1:47" x14ac:dyDescent="0.25">
      <c r="A10" s="1" t="s">
        <v>96</v>
      </c>
      <c r="B10" s="7">
        <f>1/B9</f>
        <v>2.3809523809523808E-2</v>
      </c>
      <c r="E10" t="s">
        <v>97</v>
      </c>
      <c r="F10" t="s">
        <v>98</v>
      </c>
      <c r="G10" t="s">
        <v>99</v>
      </c>
      <c r="H10" t="s">
        <v>100</v>
      </c>
    </row>
    <row r="11" spans="1:47" x14ac:dyDescent="0.25">
      <c r="A11" s="1" t="s">
        <v>101</v>
      </c>
      <c r="B11" s="10">
        <v>0.5</v>
      </c>
      <c r="E11">
        <v>40</v>
      </c>
      <c r="F11">
        <v>66</v>
      </c>
      <c r="G11">
        <v>80</v>
      </c>
      <c r="H11">
        <v>40</v>
      </c>
    </row>
    <row r="12" spans="1:47" x14ac:dyDescent="0.25">
      <c r="A12" s="1" t="s">
        <v>102</v>
      </c>
      <c r="B12" s="10">
        <v>0.01</v>
      </c>
    </row>
    <row r="13" spans="1:47" x14ac:dyDescent="0.25">
      <c r="A13" s="1" t="s">
        <v>103</v>
      </c>
      <c r="B13" s="2">
        <v>700</v>
      </c>
      <c r="C13" t="s">
        <v>104</v>
      </c>
    </row>
    <row r="15" spans="1:47" x14ac:dyDescent="0.25">
      <c r="A15" s="5" t="s">
        <v>104</v>
      </c>
      <c r="B15" s="5">
        <v>2020</v>
      </c>
      <c r="C15" s="5">
        <v>2021</v>
      </c>
      <c r="D15" s="5">
        <v>2022</v>
      </c>
      <c r="E15" s="5">
        <v>2023</v>
      </c>
      <c r="F15" s="5">
        <v>2024</v>
      </c>
      <c r="G15" s="5">
        <v>2025</v>
      </c>
      <c r="H15" s="5">
        <v>2026</v>
      </c>
      <c r="I15" s="5">
        <v>2027</v>
      </c>
      <c r="J15" s="5">
        <v>2028</v>
      </c>
      <c r="K15" s="5">
        <v>2029</v>
      </c>
      <c r="L15" s="5">
        <v>2030</v>
      </c>
      <c r="M15" s="5">
        <v>2031</v>
      </c>
      <c r="N15" s="5">
        <v>2032</v>
      </c>
      <c r="O15" s="5">
        <v>2033</v>
      </c>
      <c r="P15" s="5">
        <v>2034</v>
      </c>
      <c r="Q15" s="5">
        <v>2035</v>
      </c>
      <c r="R15" s="5">
        <v>2036</v>
      </c>
      <c r="S15" s="5">
        <v>2037</v>
      </c>
      <c r="T15" s="5">
        <v>2038</v>
      </c>
      <c r="U15" s="5">
        <v>2039</v>
      </c>
      <c r="V15" s="5">
        <v>2040</v>
      </c>
      <c r="W15" s="5">
        <v>2041</v>
      </c>
      <c r="X15" s="5">
        <v>2042</v>
      </c>
      <c r="Y15" s="5">
        <v>2043</v>
      </c>
      <c r="Z15" s="5">
        <v>2044</v>
      </c>
      <c r="AA15" s="5">
        <v>2045</v>
      </c>
      <c r="AB15" s="5">
        <v>2046</v>
      </c>
      <c r="AC15" s="5">
        <v>2047</v>
      </c>
      <c r="AD15" s="5">
        <v>2048</v>
      </c>
      <c r="AE15" s="5">
        <v>2049</v>
      </c>
      <c r="AF15" s="5">
        <v>2050</v>
      </c>
      <c r="AG15" s="5">
        <v>2051</v>
      </c>
      <c r="AH15" s="5">
        <v>2052</v>
      </c>
      <c r="AI15" s="5">
        <v>2053</v>
      </c>
      <c r="AJ15" s="5">
        <v>2054</v>
      </c>
      <c r="AK15" s="5">
        <v>2055</v>
      </c>
      <c r="AL15" s="5">
        <v>2056</v>
      </c>
      <c r="AM15" s="5">
        <v>2057</v>
      </c>
      <c r="AN15" s="5">
        <v>2058</v>
      </c>
      <c r="AO15" s="5">
        <v>2059</v>
      </c>
      <c r="AP15" s="5">
        <v>2060</v>
      </c>
      <c r="AQ15" s="5">
        <v>2061</v>
      </c>
      <c r="AR15" s="5">
        <v>2062</v>
      </c>
      <c r="AS15" s="5">
        <v>2063</v>
      </c>
      <c r="AT15" s="5">
        <v>2064</v>
      </c>
      <c r="AU15" s="5">
        <v>2065</v>
      </c>
    </row>
    <row r="16" spans="1:47" x14ac:dyDescent="0.25">
      <c r="A16" s="5" t="s">
        <v>105</v>
      </c>
      <c r="B16" s="3">
        <f>B13</f>
        <v>700</v>
      </c>
      <c r="C16" s="4">
        <f t="shared" ref="C16:AU16" si="0">B19</f>
        <v>712.33333333333337</v>
      </c>
      <c r="D16" s="4">
        <f t="shared" si="0"/>
        <v>727.3730158730159</v>
      </c>
      <c r="E16" s="4">
        <f t="shared" si="0"/>
        <v>745.05461073318224</v>
      </c>
      <c r="F16" s="4">
        <f t="shared" si="0"/>
        <v>763.31521523953506</v>
      </c>
      <c r="G16" s="4">
        <f t="shared" si="0"/>
        <v>785.14104344811756</v>
      </c>
      <c r="H16" s="4">
        <f t="shared" si="0"/>
        <v>826.44720908030524</v>
      </c>
      <c r="I16" s="4">
        <f t="shared" si="0"/>
        <v>878.76989457839318</v>
      </c>
      <c r="J16" s="4">
        <f t="shared" si="0"/>
        <v>929.84680185033619</v>
      </c>
      <c r="K16" s="4">
        <f t="shared" si="0"/>
        <v>979.70759228247107</v>
      </c>
      <c r="L16" s="4">
        <f t="shared" si="0"/>
        <v>1028.3812210376502</v>
      </c>
      <c r="M16" s="4">
        <f t="shared" si="0"/>
        <v>1075.8959538700872</v>
      </c>
      <c r="N16" s="4">
        <f t="shared" si="0"/>
        <v>1123.4106867025241</v>
      </c>
      <c r="O16" s="4">
        <f t="shared" si="0"/>
        <v>1170.9254195349611</v>
      </c>
      <c r="P16" s="4">
        <f t="shared" si="0"/>
        <v>1218.440152367398</v>
      </c>
      <c r="Q16" s="4">
        <f t="shared" si="0"/>
        <v>1265.954885199835</v>
      </c>
      <c r="R16" s="4">
        <f t="shared" si="0"/>
        <v>1313.4696180322719</v>
      </c>
      <c r="S16" s="4">
        <f t="shared" si="0"/>
        <v>1360.9843508647089</v>
      </c>
      <c r="T16" s="4">
        <f t="shared" si="0"/>
        <v>1408.4990836971458</v>
      </c>
      <c r="U16" s="4">
        <f t="shared" si="0"/>
        <v>1456.0138165295828</v>
      </c>
      <c r="V16" s="4">
        <f t="shared" si="0"/>
        <v>1503.5285493620197</v>
      </c>
      <c r="W16" s="4">
        <f t="shared" si="0"/>
        <v>1551.0432821944567</v>
      </c>
      <c r="X16" s="4">
        <f t="shared" si="0"/>
        <v>1586.5580150268936</v>
      </c>
      <c r="Y16" s="4">
        <f t="shared" si="0"/>
        <v>1622.0727478593305</v>
      </c>
      <c r="Z16" s="4">
        <f t="shared" si="0"/>
        <v>1657.5874806917675</v>
      </c>
      <c r="AA16" s="4">
        <f t="shared" si="0"/>
        <v>1693.1022135242044</v>
      </c>
      <c r="AB16" s="4">
        <f t="shared" si="0"/>
        <v>1728.6169463566414</v>
      </c>
      <c r="AC16" s="4">
        <f t="shared" si="0"/>
        <v>1764.1316791890783</v>
      </c>
      <c r="AD16" s="4">
        <f t="shared" si="0"/>
        <v>1799.6464120215153</v>
      </c>
      <c r="AE16" s="4">
        <f t="shared" si="0"/>
        <v>1835.1611448539522</v>
      </c>
      <c r="AF16" s="4">
        <f t="shared" si="0"/>
        <v>1870.6758776863892</v>
      </c>
      <c r="AG16" s="4">
        <f t="shared" si="0"/>
        <v>1906.1906105188261</v>
      </c>
      <c r="AH16" s="4">
        <f t="shared" si="0"/>
        <v>1941.7053433512631</v>
      </c>
      <c r="AI16" s="4">
        <f t="shared" si="0"/>
        <v>1977.2200761837</v>
      </c>
      <c r="AJ16" s="4">
        <f t="shared" si="0"/>
        <v>2012.734809016137</v>
      </c>
      <c r="AK16" s="4">
        <f t="shared" si="0"/>
        <v>2048.2495418485737</v>
      </c>
      <c r="AL16" s="4">
        <f t="shared" si="0"/>
        <v>2083.7642746810106</v>
      </c>
      <c r="AM16" s="4">
        <f t="shared" si="0"/>
        <v>2119.2790075134476</v>
      </c>
      <c r="AN16" s="4">
        <f t="shared" si="0"/>
        <v>2154.7937403458845</v>
      </c>
      <c r="AO16" s="4">
        <f t="shared" si="0"/>
        <v>2190.3084731783215</v>
      </c>
      <c r="AP16" s="4">
        <f t="shared" si="0"/>
        <v>2225.8232060107584</v>
      </c>
      <c r="AQ16" s="4">
        <f t="shared" si="0"/>
        <v>2261.3379388431954</v>
      </c>
      <c r="AR16" s="4">
        <f t="shared" si="0"/>
        <v>2296.8526716756323</v>
      </c>
      <c r="AS16" s="4">
        <f t="shared" si="0"/>
        <v>2332.3674045080693</v>
      </c>
      <c r="AT16" s="4">
        <f t="shared" si="0"/>
        <v>2367.8821373405062</v>
      </c>
      <c r="AU16" s="4">
        <f t="shared" si="0"/>
        <v>2403.3968701729432</v>
      </c>
    </row>
    <row r="17" spans="1:47" x14ac:dyDescent="0.25">
      <c r="A17" s="5" t="s">
        <v>106</v>
      </c>
      <c r="B17" s="2">
        <v>29</v>
      </c>
      <c r="C17" s="2">
        <v>32</v>
      </c>
      <c r="D17" s="2">
        <v>35</v>
      </c>
      <c r="E17" s="2">
        <v>36</v>
      </c>
      <c r="F17" s="2">
        <v>40</v>
      </c>
      <c r="G17" s="2">
        <v>60</v>
      </c>
      <c r="H17" s="2">
        <v>72</v>
      </c>
      <c r="I17" s="2">
        <v>72</v>
      </c>
      <c r="J17" s="2">
        <v>72</v>
      </c>
      <c r="K17" s="2">
        <v>72</v>
      </c>
      <c r="L17" s="2">
        <v>72</v>
      </c>
      <c r="M17" s="2">
        <v>72</v>
      </c>
      <c r="N17" s="2">
        <v>72</v>
      </c>
      <c r="O17" s="2">
        <v>72</v>
      </c>
      <c r="P17" s="2">
        <v>72</v>
      </c>
      <c r="Q17" s="2">
        <v>72</v>
      </c>
      <c r="R17" s="2">
        <v>72</v>
      </c>
      <c r="S17" s="2">
        <v>72</v>
      </c>
      <c r="T17" s="2">
        <v>72</v>
      </c>
      <c r="U17" s="2">
        <v>72</v>
      </c>
      <c r="V17" s="2">
        <v>72</v>
      </c>
      <c r="W17" s="2">
        <v>60</v>
      </c>
      <c r="X17" s="2">
        <v>60</v>
      </c>
      <c r="Y17" s="2">
        <v>60</v>
      </c>
      <c r="Z17" s="2">
        <v>60</v>
      </c>
      <c r="AA17" s="2">
        <v>60</v>
      </c>
      <c r="AB17" s="2">
        <v>60</v>
      </c>
      <c r="AC17" s="2">
        <v>60</v>
      </c>
      <c r="AD17" s="2">
        <v>60</v>
      </c>
      <c r="AE17" s="2">
        <v>60</v>
      </c>
      <c r="AF17" s="2">
        <v>60</v>
      </c>
      <c r="AG17" s="2">
        <v>60</v>
      </c>
      <c r="AH17" s="2">
        <v>60</v>
      </c>
      <c r="AI17" s="2">
        <v>60</v>
      </c>
      <c r="AJ17" s="2">
        <v>60</v>
      </c>
      <c r="AK17" s="2">
        <v>60</v>
      </c>
      <c r="AL17" s="2">
        <v>60</v>
      </c>
      <c r="AM17" s="2">
        <v>60</v>
      </c>
      <c r="AN17" s="2">
        <v>60</v>
      </c>
      <c r="AO17" s="2">
        <v>60</v>
      </c>
      <c r="AP17" s="2">
        <v>60</v>
      </c>
      <c r="AQ17" s="2">
        <v>60</v>
      </c>
      <c r="AR17" s="2">
        <v>60</v>
      </c>
      <c r="AS17" s="2">
        <v>60</v>
      </c>
      <c r="AT17" s="2">
        <v>60</v>
      </c>
      <c r="AU17" s="2">
        <v>60</v>
      </c>
    </row>
    <row r="18" spans="1:47" x14ac:dyDescent="0.25">
      <c r="A18" s="5" t="s">
        <v>107</v>
      </c>
      <c r="B18" s="4">
        <f t="shared" ref="B18:L18" si="1">(B16*$B10)</f>
        <v>16.666666666666664</v>
      </c>
      <c r="C18" s="4">
        <f t="shared" si="1"/>
        <v>16.960317460317459</v>
      </c>
      <c r="D18" s="4">
        <f t="shared" si="1"/>
        <v>17.318405139833711</v>
      </c>
      <c r="E18" s="4">
        <f t="shared" si="1"/>
        <v>17.739395493647194</v>
      </c>
      <c r="F18" s="4">
        <f t="shared" si="1"/>
        <v>18.1741717914175</v>
      </c>
      <c r="G18" s="4">
        <f t="shared" si="1"/>
        <v>18.693834367812322</v>
      </c>
      <c r="H18" s="4">
        <f t="shared" si="1"/>
        <v>19.677314501912029</v>
      </c>
      <c r="I18" s="4">
        <f t="shared" si="1"/>
        <v>20.923092728056979</v>
      </c>
      <c r="J18" s="4">
        <f t="shared" si="1"/>
        <v>22.139209567865148</v>
      </c>
      <c r="K18" s="4">
        <f t="shared" si="1"/>
        <v>23.326371244820738</v>
      </c>
      <c r="L18" s="4">
        <f t="shared" si="1"/>
        <v>24.485267167563098</v>
      </c>
      <c r="M18" s="15">
        <f t="shared" ref="M18:AU18" si="2">L18</f>
        <v>24.485267167563098</v>
      </c>
      <c r="N18" s="15">
        <f t="shared" si="2"/>
        <v>24.485267167563098</v>
      </c>
      <c r="O18" s="15">
        <f t="shared" si="2"/>
        <v>24.485267167563098</v>
      </c>
      <c r="P18" s="15">
        <f t="shared" si="2"/>
        <v>24.485267167563098</v>
      </c>
      <c r="Q18" s="15">
        <f t="shared" si="2"/>
        <v>24.485267167563098</v>
      </c>
      <c r="R18" s="15">
        <f t="shared" si="2"/>
        <v>24.485267167563098</v>
      </c>
      <c r="S18" s="15">
        <f t="shared" si="2"/>
        <v>24.485267167563098</v>
      </c>
      <c r="T18" s="15">
        <f t="shared" si="2"/>
        <v>24.485267167563098</v>
      </c>
      <c r="U18" s="15">
        <f t="shared" si="2"/>
        <v>24.485267167563098</v>
      </c>
      <c r="V18" s="15">
        <f t="shared" si="2"/>
        <v>24.485267167563098</v>
      </c>
      <c r="W18" s="15">
        <f t="shared" si="2"/>
        <v>24.485267167563098</v>
      </c>
      <c r="X18" s="15">
        <f t="shared" si="2"/>
        <v>24.485267167563098</v>
      </c>
      <c r="Y18" s="15">
        <f t="shared" si="2"/>
        <v>24.485267167563098</v>
      </c>
      <c r="Z18" s="15">
        <f t="shared" si="2"/>
        <v>24.485267167563098</v>
      </c>
      <c r="AA18" s="15">
        <f t="shared" si="2"/>
        <v>24.485267167563098</v>
      </c>
      <c r="AB18" s="15">
        <f t="shared" si="2"/>
        <v>24.485267167563098</v>
      </c>
      <c r="AC18" s="15">
        <f t="shared" si="2"/>
        <v>24.485267167563098</v>
      </c>
      <c r="AD18" s="15">
        <f t="shared" si="2"/>
        <v>24.485267167563098</v>
      </c>
      <c r="AE18" s="15">
        <f t="shared" si="2"/>
        <v>24.485267167563098</v>
      </c>
      <c r="AF18" s="15">
        <f t="shared" si="2"/>
        <v>24.485267167563098</v>
      </c>
      <c r="AG18" s="15">
        <f t="shared" si="2"/>
        <v>24.485267167563098</v>
      </c>
      <c r="AH18" s="15">
        <f t="shared" si="2"/>
        <v>24.485267167563098</v>
      </c>
      <c r="AI18" s="15">
        <f t="shared" si="2"/>
        <v>24.485267167563098</v>
      </c>
      <c r="AJ18" s="15">
        <f t="shared" si="2"/>
        <v>24.485267167563098</v>
      </c>
      <c r="AK18" s="15">
        <f t="shared" si="2"/>
        <v>24.485267167563098</v>
      </c>
      <c r="AL18" s="15">
        <f t="shared" si="2"/>
        <v>24.485267167563098</v>
      </c>
      <c r="AM18" s="15">
        <f t="shared" si="2"/>
        <v>24.485267167563098</v>
      </c>
      <c r="AN18" s="15">
        <f t="shared" si="2"/>
        <v>24.485267167563098</v>
      </c>
      <c r="AO18" s="15">
        <f t="shared" si="2"/>
        <v>24.485267167563098</v>
      </c>
      <c r="AP18" s="15">
        <f t="shared" si="2"/>
        <v>24.485267167563098</v>
      </c>
      <c r="AQ18" s="15">
        <f t="shared" si="2"/>
        <v>24.485267167563098</v>
      </c>
      <c r="AR18" s="15">
        <f t="shared" si="2"/>
        <v>24.485267167563098</v>
      </c>
      <c r="AS18" s="15">
        <f t="shared" si="2"/>
        <v>24.485267167563098</v>
      </c>
      <c r="AT18" s="15">
        <f t="shared" si="2"/>
        <v>24.485267167563098</v>
      </c>
      <c r="AU18" s="15">
        <f t="shared" si="2"/>
        <v>24.485267167563098</v>
      </c>
    </row>
    <row r="19" spans="1:47" x14ac:dyDescent="0.25">
      <c r="A19" s="5" t="s">
        <v>108</v>
      </c>
      <c r="B19" s="4">
        <f t="shared" ref="B19:AU19" si="3">B16+B17-B18</f>
        <v>712.33333333333337</v>
      </c>
      <c r="C19" s="4">
        <f t="shared" si="3"/>
        <v>727.3730158730159</v>
      </c>
      <c r="D19" s="4">
        <f t="shared" si="3"/>
        <v>745.05461073318224</v>
      </c>
      <c r="E19" s="4">
        <f t="shared" si="3"/>
        <v>763.31521523953506</v>
      </c>
      <c r="F19" s="4">
        <f t="shared" si="3"/>
        <v>785.14104344811756</v>
      </c>
      <c r="G19" s="4">
        <f t="shared" si="3"/>
        <v>826.44720908030524</v>
      </c>
      <c r="H19" s="4">
        <f t="shared" si="3"/>
        <v>878.76989457839318</v>
      </c>
      <c r="I19" s="4">
        <f t="shared" si="3"/>
        <v>929.84680185033619</v>
      </c>
      <c r="J19" s="4">
        <f t="shared" si="3"/>
        <v>979.70759228247107</v>
      </c>
      <c r="K19" s="4">
        <f t="shared" si="3"/>
        <v>1028.3812210376502</v>
      </c>
      <c r="L19" s="4">
        <f t="shared" si="3"/>
        <v>1075.8959538700872</v>
      </c>
      <c r="M19" s="4">
        <f t="shared" si="3"/>
        <v>1123.4106867025241</v>
      </c>
      <c r="N19" s="4">
        <f t="shared" si="3"/>
        <v>1170.9254195349611</v>
      </c>
      <c r="O19" s="4">
        <f t="shared" si="3"/>
        <v>1218.440152367398</v>
      </c>
      <c r="P19" s="4">
        <f t="shared" si="3"/>
        <v>1265.954885199835</v>
      </c>
      <c r="Q19" s="4">
        <f t="shared" si="3"/>
        <v>1313.4696180322719</v>
      </c>
      <c r="R19" s="4">
        <f t="shared" si="3"/>
        <v>1360.9843508647089</v>
      </c>
      <c r="S19" s="4">
        <f t="shared" si="3"/>
        <v>1408.4990836971458</v>
      </c>
      <c r="T19" s="4">
        <f t="shared" si="3"/>
        <v>1456.0138165295828</v>
      </c>
      <c r="U19" s="4">
        <f t="shared" si="3"/>
        <v>1503.5285493620197</v>
      </c>
      <c r="V19" s="4">
        <f t="shared" si="3"/>
        <v>1551.0432821944567</v>
      </c>
      <c r="W19" s="4">
        <f t="shared" si="3"/>
        <v>1586.5580150268936</v>
      </c>
      <c r="X19" s="4">
        <f t="shared" si="3"/>
        <v>1622.0727478593305</v>
      </c>
      <c r="Y19" s="4">
        <f t="shared" si="3"/>
        <v>1657.5874806917675</v>
      </c>
      <c r="Z19" s="4">
        <f t="shared" si="3"/>
        <v>1693.1022135242044</v>
      </c>
      <c r="AA19" s="4">
        <f t="shared" si="3"/>
        <v>1728.6169463566414</v>
      </c>
      <c r="AB19" s="4">
        <f t="shared" si="3"/>
        <v>1764.1316791890783</v>
      </c>
      <c r="AC19" s="4">
        <f t="shared" si="3"/>
        <v>1799.6464120215153</v>
      </c>
      <c r="AD19" s="4">
        <f t="shared" si="3"/>
        <v>1835.1611448539522</v>
      </c>
      <c r="AE19" s="4">
        <f t="shared" si="3"/>
        <v>1870.6758776863892</v>
      </c>
      <c r="AF19" s="4">
        <f t="shared" si="3"/>
        <v>1906.1906105188261</v>
      </c>
      <c r="AG19" s="4">
        <f t="shared" si="3"/>
        <v>1941.7053433512631</v>
      </c>
      <c r="AH19" s="4">
        <f t="shared" si="3"/>
        <v>1977.2200761837</v>
      </c>
      <c r="AI19" s="4">
        <f t="shared" si="3"/>
        <v>2012.734809016137</v>
      </c>
      <c r="AJ19" s="4">
        <f t="shared" si="3"/>
        <v>2048.2495418485737</v>
      </c>
      <c r="AK19" s="4">
        <f t="shared" si="3"/>
        <v>2083.7642746810106</v>
      </c>
      <c r="AL19" s="4">
        <f t="shared" si="3"/>
        <v>2119.2790075134476</v>
      </c>
      <c r="AM19" s="4">
        <f t="shared" si="3"/>
        <v>2154.7937403458845</v>
      </c>
      <c r="AN19" s="4">
        <f t="shared" si="3"/>
        <v>2190.3084731783215</v>
      </c>
      <c r="AO19" s="4">
        <f t="shared" si="3"/>
        <v>2225.8232060107584</v>
      </c>
      <c r="AP19" s="4">
        <f t="shared" si="3"/>
        <v>2261.3379388431954</v>
      </c>
      <c r="AQ19" s="4">
        <f t="shared" si="3"/>
        <v>2296.8526716756323</v>
      </c>
      <c r="AR19" s="4">
        <f t="shared" si="3"/>
        <v>2332.3674045080693</v>
      </c>
      <c r="AS19" s="4">
        <f t="shared" si="3"/>
        <v>2367.8821373405062</v>
      </c>
      <c r="AT19" s="4">
        <f t="shared" si="3"/>
        <v>2403.3968701729432</v>
      </c>
      <c r="AU19" s="4">
        <f t="shared" si="3"/>
        <v>2438.9116030053801</v>
      </c>
    </row>
    <row r="20" spans="1:47" x14ac:dyDescent="0.25">
      <c r="A20" s="5" t="s">
        <v>109</v>
      </c>
      <c r="B20" s="4">
        <f t="shared" ref="B20:AU20" si="4">(B16+B17)*$B8+B18</f>
        <v>56.032666666666664</v>
      </c>
      <c r="C20" s="4">
        <f t="shared" si="4"/>
        <v>57.154317460317458</v>
      </c>
      <c r="D20" s="4">
        <f t="shared" si="4"/>
        <v>58.486547996976569</v>
      </c>
      <c r="E20" s="4">
        <f t="shared" si="4"/>
        <v>59.916344473239036</v>
      </c>
      <c r="F20" s="4">
        <f t="shared" si="4"/>
        <v>61.553193414352393</v>
      </c>
      <c r="G20" s="4">
        <f t="shared" si="4"/>
        <v>64.331450714010671</v>
      </c>
      <c r="H20" s="4">
        <f t="shared" si="4"/>
        <v>68.193463792248508</v>
      </c>
      <c r="I20" s="4">
        <f t="shared" si="4"/>
        <v>72.264667035290216</v>
      </c>
      <c r="J20" s="4">
        <f t="shared" si="4"/>
        <v>76.238936867783295</v>
      </c>
      <c r="K20" s="4">
        <f t="shared" si="4"/>
        <v>80.118581228074177</v>
      </c>
      <c r="L20" s="4">
        <f t="shared" si="4"/>
        <v>83.905853103596215</v>
      </c>
      <c r="M20" s="4">
        <f t="shared" si="4"/>
        <v>86.471648676547801</v>
      </c>
      <c r="N20" s="4">
        <f t="shared" si="4"/>
        <v>89.037444249499401</v>
      </c>
      <c r="O20" s="4">
        <f t="shared" si="4"/>
        <v>91.603239822450988</v>
      </c>
      <c r="P20" s="4">
        <f t="shared" si="4"/>
        <v>94.169035395402588</v>
      </c>
      <c r="Q20" s="4">
        <f t="shared" si="4"/>
        <v>96.734830968354188</v>
      </c>
      <c r="R20" s="4">
        <f t="shared" si="4"/>
        <v>99.300626541305775</v>
      </c>
      <c r="S20" s="4">
        <f t="shared" si="4"/>
        <v>101.86642211425738</v>
      </c>
      <c r="T20" s="4">
        <f t="shared" si="4"/>
        <v>104.43221768720896</v>
      </c>
      <c r="U20" s="4">
        <f t="shared" si="4"/>
        <v>106.99801326016056</v>
      </c>
      <c r="V20" s="4">
        <f t="shared" si="4"/>
        <v>109.56380883311216</v>
      </c>
      <c r="W20" s="4">
        <f t="shared" si="4"/>
        <v>111.48160440606375</v>
      </c>
      <c r="X20" s="4">
        <f t="shared" si="4"/>
        <v>113.39939997901534</v>
      </c>
      <c r="Y20" s="4">
        <f t="shared" si="4"/>
        <v>115.31719555196695</v>
      </c>
      <c r="Z20" s="4">
        <f t="shared" si="4"/>
        <v>117.23499112491854</v>
      </c>
      <c r="AA20" s="4">
        <f t="shared" si="4"/>
        <v>119.15278669787013</v>
      </c>
      <c r="AB20" s="4">
        <f t="shared" si="4"/>
        <v>121.07058227082173</v>
      </c>
      <c r="AC20" s="4">
        <f t="shared" si="4"/>
        <v>122.98837784377332</v>
      </c>
      <c r="AD20" s="4">
        <f t="shared" si="4"/>
        <v>124.90617341672493</v>
      </c>
      <c r="AE20" s="4">
        <f t="shared" si="4"/>
        <v>126.82396898967652</v>
      </c>
      <c r="AF20" s="4">
        <f t="shared" si="4"/>
        <v>128.74176456262811</v>
      </c>
      <c r="AG20" s="4">
        <f t="shared" si="4"/>
        <v>130.65956013557971</v>
      </c>
      <c r="AH20" s="4">
        <f t="shared" si="4"/>
        <v>132.57735570853131</v>
      </c>
      <c r="AI20" s="4">
        <f t="shared" si="4"/>
        <v>134.49515128148289</v>
      </c>
      <c r="AJ20" s="4">
        <f t="shared" si="4"/>
        <v>136.41294685443449</v>
      </c>
      <c r="AK20" s="4">
        <f t="shared" si="4"/>
        <v>138.33074242738607</v>
      </c>
      <c r="AL20" s="4">
        <f t="shared" si="4"/>
        <v>140.24853800033767</v>
      </c>
      <c r="AM20" s="4">
        <f t="shared" si="4"/>
        <v>142.16633357328928</v>
      </c>
      <c r="AN20" s="4">
        <f t="shared" si="4"/>
        <v>144.08412914624085</v>
      </c>
      <c r="AO20" s="4">
        <f t="shared" si="4"/>
        <v>146.00192471919246</v>
      </c>
      <c r="AP20" s="4">
        <f t="shared" si="4"/>
        <v>147.91972029214406</v>
      </c>
      <c r="AQ20" s="4">
        <f t="shared" si="4"/>
        <v>149.83751586509564</v>
      </c>
      <c r="AR20" s="4">
        <f t="shared" si="4"/>
        <v>151.75531143804724</v>
      </c>
      <c r="AS20" s="4">
        <f t="shared" si="4"/>
        <v>153.67310701099885</v>
      </c>
      <c r="AT20" s="4">
        <f t="shared" si="4"/>
        <v>155.59090258395045</v>
      </c>
      <c r="AU20" s="4">
        <f t="shared" si="4"/>
        <v>157.50869815690203</v>
      </c>
    </row>
    <row r="21" spans="1:47" x14ac:dyDescent="0.25">
      <c r="A21" s="5" t="s">
        <v>110</v>
      </c>
      <c r="B21" s="11">
        <f>B20*(1/B11-1)</f>
        <v>56.032666666666664</v>
      </c>
      <c r="C21" s="4">
        <f t="shared" ref="C21:AU21" si="5">$B21*(1+$B$12)^(C15-$B15)</f>
        <v>56.592993333333332</v>
      </c>
      <c r="D21" s="4">
        <f t="shared" si="5"/>
        <v>57.158923266666662</v>
      </c>
      <c r="E21" s="4">
        <f t="shared" si="5"/>
        <v>57.730512499333322</v>
      </c>
      <c r="F21" s="4">
        <f t="shared" si="5"/>
        <v>58.307817624326667</v>
      </c>
      <c r="G21" s="4">
        <f t="shared" si="5"/>
        <v>58.890895800569929</v>
      </c>
      <c r="H21" s="4">
        <f t="shared" si="5"/>
        <v>59.479804758575639</v>
      </c>
      <c r="I21" s="4">
        <f t="shared" si="5"/>
        <v>60.07460280616138</v>
      </c>
      <c r="J21" s="4">
        <f t="shared" si="5"/>
        <v>60.675348834223009</v>
      </c>
      <c r="K21" s="4">
        <f t="shared" si="5"/>
        <v>61.282102322565244</v>
      </c>
      <c r="L21" s="4">
        <f t="shared" si="5"/>
        <v>61.894923345790893</v>
      </c>
      <c r="M21" s="4">
        <f t="shared" si="5"/>
        <v>62.51387257924879</v>
      </c>
      <c r="N21" s="4">
        <f t="shared" si="5"/>
        <v>63.139011305041279</v>
      </c>
      <c r="O21" s="4">
        <f t="shared" si="5"/>
        <v>63.770401418091694</v>
      </c>
      <c r="P21" s="4">
        <f t="shared" si="5"/>
        <v>64.40810543227262</v>
      </c>
      <c r="Q21" s="4">
        <f t="shared" si="5"/>
        <v>65.052186486595332</v>
      </c>
      <c r="R21" s="4">
        <f t="shared" si="5"/>
        <v>65.702708351461297</v>
      </c>
      <c r="S21" s="4">
        <f t="shared" si="5"/>
        <v>66.359735434975917</v>
      </c>
      <c r="T21" s="4">
        <f t="shared" si="5"/>
        <v>67.023332789325679</v>
      </c>
      <c r="U21" s="4">
        <f t="shared" si="5"/>
        <v>67.693566117218921</v>
      </c>
      <c r="V21" s="4">
        <f t="shared" si="5"/>
        <v>68.370501778391116</v>
      </c>
      <c r="W21" s="4">
        <f t="shared" si="5"/>
        <v>69.054206796175023</v>
      </c>
      <c r="X21" s="4">
        <f t="shared" si="5"/>
        <v>69.744748864136795</v>
      </c>
      <c r="Y21" s="4">
        <f t="shared" si="5"/>
        <v>70.44219635277814</v>
      </c>
      <c r="Z21" s="4">
        <f t="shared" si="5"/>
        <v>71.146618316305947</v>
      </c>
      <c r="AA21" s="4">
        <f t="shared" si="5"/>
        <v>71.858084499469015</v>
      </c>
      <c r="AB21" s="4">
        <f t="shared" si="5"/>
        <v>72.576665344463706</v>
      </c>
      <c r="AC21" s="4">
        <f t="shared" si="5"/>
        <v>73.302431997908315</v>
      </c>
      <c r="AD21" s="4">
        <f t="shared" si="5"/>
        <v>74.035456317887395</v>
      </c>
      <c r="AE21" s="4">
        <f t="shared" si="5"/>
        <v>74.775810881066278</v>
      </c>
      <c r="AF21" s="4">
        <f t="shared" si="5"/>
        <v>75.523568989876964</v>
      </c>
      <c r="AG21" s="4">
        <f t="shared" si="5"/>
        <v>76.278804679775703</v>
      </c>
      <c r="AH21" s="4">
        <f t="shared" si="5"/>
        <v>77.041592726573484</v>
      </c>
      <c r="AI21" s="4">
        <f t="shared" si="5"/>
        <v>77.812008653839214</v>
      </c>
      <c r="AJ21" s="4">
        <f t="shared" si="5"/>
        <v>78.590128740377608</v>
      </c>
      <c r="AK21" s="4">
        <f t="shared" si="5"/>
        <v>79.376030027781368</v>
      </c>
      <c r="AL21" s="4">
        <f t="shared" si="5"/>
        <v>80.169790328059193</v>
      </c>
      <c r="AM21" s="4">
        <f t="shared" si="5"/>
        <v>80.971488231339791</v>
      </c>
      <c r="AN21" s="4">
        <f t="shared" si="5"/>
        <v>81.781203113653191</v>
      </c>
      <c r="AO21" s="4">
        <f t="shared" si="5"/>
        <v>82.599015144789703</v>
      </c>
      <c r="AP21" s="4">
        <f t="shared" si="5"/>
        <v>83.425005296237615</v>
      </c>
      <c r="AQ21" s="4">
        <f t="shared" si="5"/>
        <v>84.259255349200004</v>
      </c>
      <c r="AR21" s="4">
        <f t="shared" si="5"/>
        <v>85.101847902692015</v>
      </c>
      <c r="AS21" s="4">
        <f t="shared" si="5"/>
        <v>85.952866381718906</v>
      </c>
      <c r="AT21" s="4">
        <f t="shared" si="5"/>
        <v>86.812395045536107</v>
      </c>
      <c r="AU21" s="4">
        <f t="shared" si="5"/>
        <v>87.680518995991463</v>
      </c>
    </row>
    <row r="22" spans="1:47" x14ac:dyDescent="0.25">
      <c r="A22" s="5" t="s">
        <v>111</v>
      </c>
      <c r="B22" s="4">
        <f t="shared" ref="B22:AU22" si="6">B20+B21</f>
        <v>112.06533333333333</v>
      </c>
      <c r="C22" s="4">
        <f t="shared" si="6"/>
        <v>113.7473107936508</v>
      </c>
      <c r="D22" s="4">
        <f t="shared" si="6"/>
        <v>115.64547126364323</v>
      </c>
      <c r="E22" s="4">
        <f t="shared" si="6"/>
        <v>117.64685697257235</v>
      </c>
      <c r="F22" s="4">
        <f t="shared" si="6"/>
        <v>119.86101103867907</v>
      </c>
      <c r="G22" s="4">
        <f t="shared" si="6"/>
        <v>123.22234651458061</v>
      </c>
      <c r="H22" s="4">
        <f t="shared" si="6"/>
        <v>127.67326855082415</v>
      </c>
      <c r="I22" s="4">
        <f t="shared" si="6"/>
        <v>132.3392698414516</v>
      </c>
      <c r="J22" s="4">
        <f t="shared" si="6"/>
        <v>136.91428570200631</v>
      </c>
      <c r="K22" s="4">
        <f t="shared" si="6"/>
        <v>141.40068355063943</v>
      </c>
      <c r="L22" s="4">
        <f t="shared" si="6"/>
        <v>145.80077644938712</v>
      </c>
      <c r="M22" s="4">
        <f t="shared" si="6"/>
        <v>148.98552125579658</v>
      </c>
      <c r="N22" s="4">
        <f t="shared" si="6"/>
        <v>152.17645555454067</v>
      </c>
      <c r="O22" s="4">
        <f t="shared" si="6"/>
        <v>155.37364124054267</v>
      </c>
      <c r="P22" s="4">
        <f t="shared" si="6"/>
        <v>158.57714082767521</v>
      </c>
      <c r="Q22" s="4">
        <f t="shared" si="6"/>
        <v>161.78701745494953</v>
      </c>
      <c r="R22" s="4">
        <f t="shared" si="6"/>
        <v>165.00333489276707</v>
      </c>
      <c r="S22" s="4">
        <f t="shared" si="6"/>
        <v>168.22615754923328</v>
      </c>
      <c r="T22" s="4">
        <f t="shared" si="6"/>
        <v>171.45555047653465</v>
      </c>
      <c r="U22" s="4">
        <f t="shared" si="6"/>
        <v>174.69157937737947</v>
      </c>
      <c r="V22" s="4">
        <f t="shared" si="6"/>
        <v>177.93431061150329</v>
      </c>
      <c r="W22" s="4">
        <f t="shared" si="6"/>
        <v>180.53581120223879</v>
      </c>
      <c r="X22" s="4">
        <f t="shared" si="6"/>
        <v>183.14414884315215</v>
      </c>
      <c r="Y22" s="4">
        <f t="shared" si="6"/>
        <v>185.75939190474509</v>
      </c>
      <c r="Z22" s="4">
        <f t="shared" si="6"/>
        <v>188.3816094412245</v>
      </c>
      <c r="AA22" s="4">
        <f t="shared" si="6"/>
        <v>191.01087119733916</v>
      </c>
      <c r="AB22" s="4">
        <f t="shared" si="6"/>
        <v>193.64724761528544</v>
      </c>
      <c r="AC22" s="4">
        <f t="shared" si="6"/>
        <v>196.29080984168164</v>
      </c>
      <c r="AD22" s="4">
        <f t="shared" si="6"/>
        <v>198.94162973461232</v>
      </c>
      <c r="AE22" s="4">
        <f t="shared" si="6"/>
        <v>201.59977987074279</v>
      </c>
      <c r="AF22" s="4">
        <f t="shared" si="6"/>
        <v>204.26533355250507</v>
      </c>
      <c r="AG22" s="4">
        <f t="shared" si="6"/>
        <v>206.93836481535541</v>
      </c>
      <c r="AH22" s="4">
        <f t="shared" si="6"/>
        <v>209.61894843510481</v>
      </c>
      <c r="AI22" s="4">
        <f t="shared" si="6"/>
        <v>212.30715993532209</v>
      </c>
      <c r="AJ22" s="4">
        <f t="shared" si="6"/>
        <v>215.00307559481212</v>
      </c>
      <c r="AK22" s="4">
        <f t="shared" si="6"/>
        <v>217.70677245516742</v>
      </c>
      <c r="AL22" s="4">
        <f t="shared" si="6"/>
        <v>220.41832832839685</v>
      </c>
      <c r="AM22" s="4">
        <f t="shared" si="6"/>
        <v>223.13782180462908</v>
      </c>
      <c r="AN22" s="4">
        <f t="shared" si="6"/>
        <v>225.86533225989405</v>
      </c>
      <c r="AO22" s="4">
        <f t="shared" si="6"/>
        <v>228.60093986398215</v>
      </c>
      <c r="AP22" s="4">
        <f t="shared" si="6"/>
        <v>231.34472558838166</v>
      </c>
      <c r="AQ22" s="4">
        <f t="shared" si="6"/>
        <v>234.09677121429564</v>
      </c>
      <c r="AR22" s="4">
        <f t="shared" si="6"/>
        <v>236.85715934073926</v>
      </c>
      <c r="AS22" s="4">
        <f t="shared" si="6"/>
        <v>239.62597339271775</v>
      </c>
      <c r="AT22" s="4">
        <f t="shared" si="6"/>
        <v>242.40329762948656</v>
      </c>
      <c r="AU22" s="4">
        <f t="shared" si="6"/>
        <v>245.18921715289349</v>
      </c>
    </row>
    <row r="23" spans="1:47" x14ac:dyDescent="0.25">
      <c r="A23" s="8" t="s">
        <v>112</v>
      </c>
      <c r="B23" s="9">
        <f t="shared" ref="B23:AU23" si="7">B22/$B22</f>
        <v>1</v>
      </c>
      <c r="C23" s="9">
        <f t="shared" si="7"/>
        <v>1.0150089007036145</v>
      </c>
      <c r="D23" s="9">
        <f t="shared" si="7"/>
        <v>1.0319468815540034</v>
      </c>
      <c r="E23" s="9">
        <f t="shared" si="7"/>
        <v>1.0498059790054524</v>
      </c>
      <c r="F23" s="9">
        <f t="shared" si="7"/>
        <v>1.0695636864092293</v>
      </c>
      <c r="G23" s="9">
        <f t="shared" si="7"/>
        <v>1.0995581135520407</v>
      </c>
      <c r="H23" s="9">
        <f t="shared" si="7"/>
        <v>1.1392753205049211</v>
      </c>
      <c r="I23" s="9">
        <f t="shared" si="7"/>
        <v>1.1809117583919939</v>
      </c>
      <c r="J23" s="9">
        <f t="shared" si="7"/>
        <v>1.2217362999738812</v>
      </c>
      <c r="K23" s="9">
        <f t="shared" si="7"/>
        <v>1.2617700705895321</v>
      </c>
      <c r="L23" s="9">
        <f t="shared" si="7"/>
        <v>1.3010337105383805</v>
      </c>
      <c r="M23" s="9">
        <f t="shared" si="7"/>
        <v>1.329452354481879</v>
      </c>
      <c r="N23" s="9">
        <f t="shared" si="7"/>
        <v>1.3579262295316483</v>
      </c>
      <c r="O23" s="9">
        <f t="shared" si="7"/>
        <v>1.3864558879987507</v>
      </c>
      <c r="P23" s="9">
        <f t="shared" si="7"/>
        <v>1.4150418877173603</v>
      </c>
      <c r="Q23" s="9">
        <f t="shared" si="7"/>
        <v>1.4436847920999911</v>
      </c>
      <c r="R23" s="9">
        <f t="shared" si="7"/>
        <v>1.4723851701932837</v>
      </c>
      <c r="S23" s="9">
        <f t="shared" si="7"/>
        <v>1.5011435967343449</v>
      </c>
      <c r="T23" s="9">
        <f t="shared" si="7"/>
        <v>1.5299606522076525</v>
      </c>
      <c r="U23" s="9">
        <f t="shared" si="7"/>
        <v>1.5588369229025283</v>
      </c>
      <c r="V23" s="9">
        <f t="shared" si="7"/>
        <v>1.5877730009711892</v>
      </c>
      <c r="W23" s="9">
        <f t="shared" si="7"/>
        <v>1.6109871432340552</v>
      </c>
      <c r="X23" s="9">
        <f t="shared" si="7"/>
        <v>1.6342622949989187</v>
      </c>
      <c r="Y23" s="9">
        <f t="shared" si="7"/>
        <v>1.6575990663607993</v>
      </c>
      <c r="Z23" s="9">
        <f t="shared" si="7"/>
        <v>1.680998073515668</v>
      </c>
      <c r="AA23" s="9">
        <f t="shared" si="7"/>
        <v>1.7044599388214539</v>
      </c>
      <c r="AB23" s="9">
        <f t="shared" si="7"/>
        <v>1.7279852908596662</v>
      </c>
      <c r="AC23" s="9">
        <f t="shared" si="7"/>
        <v>1.7515747644976292</v>
      </c>
      <c r="AD23" s="9">
        <f t="shared" si="7"/>
        <v>1.775229000951341</v>
      </c>
      <c r="AE23" s="9">
        <f t="shared" si="7"/>
        <v>1.7989486478489585</v>
      </c>
      <c r="AF23" s="9">
        <f t="shared" si="7"/>
        <v>1.822734359294921</v>
      </c>
      <c r="AG23" s="9">
        <f t="shared" si="7"/>
        <v>1.8465867959347115</v>
      </c>
      <c r="AH23" s="9">
        <f t="shared" si="7"/>
        <v>1.8705066250202693</v>
      </c>
      <c r="AI23" s="9">
        <f t="shared" si="7"/>
        <v>1.8944945204760506</v>
      </c>
      <c r="AJ23" s="9">
        <f t="shared" si="7"/>
        <v>1.9185511629657592</v>
      </c>
      <c r="AK23" s="9">
        <f t="shared" si="7"/>
        <v>1.9426772399597327</v>
      </c>
      <c r="AL23" s="9">
        <f t="shared" si="7"/>
        <v>1.9668734458030155</v>
      </c>
      <c r="AM23" s="9">
        <f t="shared" si="7"/>
        <v>1.9911404817841001</v>
      </c>
      <c r="AN23" s="9">
        <f t="shared" si="7"/>
        <v>2.0154790562043634</v>
      </c>
      <c r="AO23" s="9">
        <f t="shared" si="7"/>
        <v>2.0398898844481983</v>
      </c>
      <c r="AP23" s="9">
        <f t="shared" si="7"/>
        <v>2.0643736890538409</v>
      </c>
      <c r="AQ23" s="9">
        <f t="shared" si="7"/>
        <v>2.0889311997849083</v>
      </c>
      <c r="AR23" s="9">
        <f t="shared" si="7"/>
        <v>2.1135631537026551</v>
      </c>
      <c r="AS23" s="9">
        <f t="shared" si="7"/>
        <v>2.1382702952389478</v>
      </c>
      <c r="AT23" s="9">
        <f t="shared" si="7"/>
        <v>2.1630533762699726</v>
      </c>
      <c r="AU23" s="9">
        <f t="shared" si="7"/>
        <v>2.1879131561906759</v>
      </c>
    </row>
    <row r="24" spans="1:47" x14ac:dyDescent="0.25">
      <c r="B24" s="12">
        <f t="shared" ref="B24:AU24" si="8">B20/B22</f>
        <v>0.5</v>
      </c>
      <c r="C24" s="12">
        <f t="shared" si="8"/>
        <v>0.50246741713306264</v>
      </c>
      <c r="D24" s="12">
        <f t="shared" si="8"/>
        <v>0.50574006364366508</v>
      </c>
      <c r="E24" s="12">
        <f t="shared" si="8"/>
        <v>0.50928980182792016</v>
      </c>
      <c r="F24" s="12">
        <f t="shared" si="8"/>
        <v>0.51353807948849373</v>
      </c>
      <c r="G24" s="12">
        <f t="shared" si="8"/>
        <v>0.52207616989665495</v>
      </c>
      <c r="H24" s="12">
        <f t="shared" si="8"/>
        <v>0.53412483729984617</v>
      </c>
      <c r="I24" s="12">
        <f t="shared" si="8"/>
        <v>0.54605611109889407</v>
      </c>
      <c r="J24" s="12">
        <f t="shared" si="8"/>
        <v>0.55683697633800755</v>
      </c>
      <c r="K24" s="12">
        <f t="shared" si="8"/>
        <v>0.566606746277726</v>
      </c>
      <c r="L24" s="12">
        <f t="shared" si="8"/>
        <v>0.57548289622945226</v>
      </c>
      <c r="M24" s="12">
        <f t="shared" si="8"/>
        <v>0.58040303478941879</v>
      </c>
      <c r="N24" s="12">
        <f t="shared" si="8"/>
        <v>0.58509342936817199</v>
      </c>
      <c r="O24" s="12">
        <f t="shared" si="8"/>
        <v>0.58956743943868095</v>
      </c>
      <c r="P24" s="12">
        <f t="shared" si="8"/>
        <v>0.59383738982742473</v>
      </c>
      <c r="Q24" s="12">
        <f t="shared" si="8"/>
        <v>0.59791466886575451</v>
      </c>
      <c r="R24" s="12">
        <f t="shared" si="8"/>
        <v>0.6018098155763919</v>
      </c>
      <c r="S24" s="12">
        <f t="shared" si="8"/>
        <v>0.60553259729804521</v>
      </c>
      <c r="T24" s="12">
        <f t="shared" si="8"/>
        <v>0.6090920789496489</v>
      </c>
      <c r="U24" s="12">
        <f t="shared" si="8"/>
        <v>0.61249668496623344</v>
      </c>
      <c r="V24" s="12">
        <f t="shared" si="8"/>
        <v>0.61575425479535906</v>
      </c>
      <c r="W24" s="12">
        <f t="shared" si="8"/>
        <v>0.61750410438614012</v>
      </c>
      <c r="X24" s="12">
        <f t="shared" si="8"/>
        <v>0.61918112424182636</v>
      </c>
      <c r="Y24" s="12">
        <f t="shared" si="8"/>
        <v>0.6207879686164135</v>
      </c>
      <c r="Z24" s="12">
        <f t="shared" si="8"/>
        <v>0.62232715535587424</v>
      </c>
      <c r="AA24" s="12">
        <f t="shared" si="8"/>
        <v>0.6238010745198358</v>
      </c>
      <c r="AB24" s="12">
        <f t="shared" si="8"/>
        <v>0.62521199635819191</v>
      </c>
      <c r="AC24" s="12">
        <f t="shared" si="8"/>
        <v>0.6265620786982824</v>
      </c>
      <c r="AD24" s="12">
        <f t="shared" si="8"/>
        <v>0.62785337379285311</v>
      </c>
      <c r="AE24" s="12">
        <f t="shared" si="8"/>
        <v>0.62908783467417795</v>
      </c>
      <c r="AF24" s="12">
        <f t="shared" si="8"/>
        <v>0.63026732105541483</v>
      </c>
      <c r="AG24" s="12">
        <f t="shared" si="8"/>
        <v>0.63139360481640572</v>
      </c>
      <c r="AH24" s="12">
        <f t="shared" si="8"/>
        <v>0.63246837510768006</v>
      </c>
      <c r="AI24" s="12">
        <f t="shared" si="8"/>
        <v>0.63349324310332211</v>
      </c>
      <c r="AJ24" s="12">
        <f t="shared" si="8"/>
        <v>0.63446974643057641</v>
      </c>
      <c r="AK24" s="12">
        <f t="shared" si="8"/>
        <v>0.63539935330157293</v>
      </c>
      <c r="AL24" s="12">
        <f t="shared" si="8"/>
        <v>0.63628346637029287</v>
      </c>
      <c r="AM24" s="12">
        <f t="shared" si="8"/>
        <v>0.63712342633587538</v>
      </c>
      <c r="AN24" s="12">
        <f t="shared" si="8"/>
        <v>0.63792051531152694</v>
      </c>
      <c r="AO24" s="12">
        <f t="shared" si="8"/>
        <v>0.63867595997664661</v>
      </c>
      <c r="AP24" s="12">
        <f t="shared" si="8"/>
        <v>0.639390934528281</v>
      </c>
      <c r="AQ24" s="12">
        <f t="shared" si="8"/>
        <v>0.64006656344667034</v>
      </c>
      <c r="AR24" s="12">
        <f t="shared" si="8"/>
        <v>0.64070392408841759</v>
      </c>
      <c r="AS24" s="12">
        <f t="shared" si="8"/>
        <v>0.64130404911969774</v>
      </c>
      <c r="AT24" s="12">
        <f t="shared" si="8"/>
        <v>0.6418679288009157</v>
      </c>
      <c r="AU24" s="12">
        <f t="shared" si="8"/>
        <v>0.64239651313329893</v>
      </c>
    </row>
    <row r="27" spans="1:47" x14ac:dyDescent="0.25">
      <c r="A27" s="16" t="s">
        <v>113</v>
      </c>
      <c r="B27" s="17"/>
      <c r="C27" s="17"/>
      <c r="D27" s="17"/>
      <c r="E27" s="17"/>
      <c r="F27" s="17"/>
      <c r="G27" s="17"/>
      <c r="H27" s="17"/>
      <c r="I27" s="17"/>
    </row>
    <row r="28" spans="1:47" x14ac:dyDescent="0.25">
      <c r="B28" s="12"/>
      <c r="C28" s="12"/>
      <c r="D28" s="12"/>
      <c r="E28" s="1"/>
      <c r="F28" s="1">
        <v>2020</v>
      </c>
      <c r="G28" s="1">
        <v>2030</v>
      </c>
      <c r="H28" s="1">
        <v>2040</v>
      </c>
      <c r="I28" s="1">
        <v>2050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47" x14ac:dyDescent="0.25">
      <c r="A29" s="1" t="s">
        <v>114</v>
      </c>
      <c r="B29" s="11">
        <v>53</v>
      </c>
      <c r="C29" s="12" t="s">
        <v>115</v>
      </c>
      <c r="D29" s="12"/>
      <c r="E29" s="12" t="s">
        <v>116</v>
      </c>
      <c r="F29" s="11">
        <v>2589.5652110000001</v>
      </c>
      <c r="G29" s="11">
        <v>3721.7576190538771</v>
      </c>
      <c r="H29" s="11">
        <v>4188.0027595155916</v>
      </c>
      <c r="I29" s="11">
        <v>4629.9439591746877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47" x14ac:dyDescent="0.25">
      <c r="A30" s="1" t="s">
        <v>117</v>
      </c>
      <c r="B30" s="2">
        <v>2590</v>
      </c>
      <c r="C30" t="s">
        <v>116</v>
      </c>
      <c r="E30" t="s">
        <v>118</v>
      </c>
      <c r="F30" s="11">
        <f>F29*$B$31</f>
        <v>2071.6521688000003</v>
      </c>
      <c r="G30" s="11">
        <f>G29*$B$31</f>
        <v>2977.4060952431018</v>
      </c>
      <c r="H30" s="11">
        <f>H29*$B$31</f>
        <v>3350.4022076124734</v>
      </c>
      <c r="I30" s="11">
        <f>I29*$B$31</f>
        <v>3703.9551673397505</v>
      </c>
    </row>
    <row r="31" spans="1:47" x14ac:dyDescent="0.25">
      <c r="A31" s="1" t="s">
        <v>119</v>
      </c>
      <c r="B31" s="2">
        <v>0.8</v>
      </c>
      <c r="E31" t="s">
        <v>120</v>
      </c>
      <c r="F31" s="21">
        <f>F30/$F30</f>
        <v>1</v>
      </c>
      <c r="G31" s="21">
        <f>G30/$F30</f>
        <v>1.437213321852074</v>
      </c>
      <c r="H31" s="21">
        <f>H30/$F30</f>
        <v>1.6172609755976488</v>
      </c>
      <c r="I31" s="21">
        <f>I30/$F30</f>
        <v>1.7879232928784845</v>
      </c>
    </row>
    <row r="32" spans="1:47" x14ac:dyDescent="0.25">
      <c r="A32" s="1" t="s">
        <v>121</v>
      </c>
      <c r="B32" s="14">
        <f>B30*B31*10^6*B29*10^-9</f>
        <v>109.816</v>
      </c>
      <c r="C32" t="s">
        <v>122</v>
      </c>
      <c r="E32" s="12" t="s">
        <v>123</v>
      </c>
      <c r="F32" s="13">
        <f>B23</f>
        <v>1</v>
      </c>
      <c r="G32" s="13">
        <f>L23</f>
        <v>1.3010337105383805</v>
      </c>
      <c r="H32" s="13">
        <f>V23</f>
        <v>1.5877730009711892</v>
      </c>
      <c r="I32" s="13">
        <f>AF23</f>
        <v>1.822734359294921</v>
      </c>
    </row>
    <row r="33" spans="1:9" x14ac:dyDescent="0.25">
      <c r="A33" s="19" t="s">
        <v>124</v>
      </c>
      <c r="B33" s="20">
        <f>(B32-B22)/B32</f>
        <v>-2.0482746897841166E-2</v>
      </c>
      <c r="E33" t="s">
        <v>125</v>
      </c>
      <c r="F33" s="14">
        <f>B32</f>
        <v>109.816</v>
      </c>
      <c r="G33" s="14">
        <f>$F33*G32</f>
        <v>142.8743179564828</v>
      </c>
      <c r="H33" s="14">
        <f>$F33*H32</f>
        <v>174.36287987465212</v>
      </c>
      <c r="I33" s="14">
        <f>$F33*I32</f>
        <v>200.16539640033105</v>
      </c>
    </row>
    <row r="34" spans="1:9" x14ac:dyDescent="0.25">
      <c r="E34" t="s">
        <v>126</v>
      </c>
      <c r="F34" s="14">
        <f>F33*1000/F30</f>
        <v>53.008898720488716</v>
      </c>
      <c r="G34" s="14">
        <f>G33*1000/G30</f>
        <v>47.986170977733977</v>
      </c>
      <c r="H34" s="14">
        <f>H33*1000/H30</f>
        <v>52.042372548131972</v>
      </c>
      <c r="I34" s="14">
        <f>I33*1000/I30</f>
        <v>54.040987905394537</v>
      </c>
    </row>
    <row r="36" spans="1:9" x14ac:dyDescent="0.25">
      <c r="A36" t="s">
        <v>127</v>
      </c>
      <c r="B36" t="s">
        <v>128</v>
      </c>
      <c r="C36" t="s">
        <v>98</v>
      </c>
      <c r="F36" s="1">
        <v>2018</v>
      </c>
      <c r="G36" s="1">
        <v>2030</v>
      </c>
      <c r="H36" s="1">
        <v>2040</v>
      </c>
      <c r="I36" s="1">
        <v>2050</v>
      </c>
    </row>
    <row r="37" spans="1:9" x14ac:dyDescent="0.25">
      <c r="A37" t="s">
        <v>129</v>
      </c>
      <c r="B37">
        <v>80</v>
      </c>
      <c r="C37">
        <v>80</v>
      </c>
    </row>
    <row r="39" spans="1:9" x14ac:dyDescent="0.25">
      <c r="A39" t="s">
        <v>130</v>
      </c>
      <c r="B39">
        <v>66</v>
      </c>
      <c r="C39">
        <v>2022</v>
      </c>
      <c r="I39">
        <f>32*3.3</f>
        <v>105.6</v>
      </c>
    </row>
    <row r="40" spans="1:9" x14ac:dyDescent="0.25">
      <c r="I40">
        <f>129+105</f>
        <v>234</v>
      </c>
    </row>
    <row r="41" spans="1:9" x14ac:dyDescent="0.25">
      <c r="B41" s="18"/>
      <c r="I41">
        <f>I40/3.7</f>
        <v>63.243243243243242</v>
      </c>
    </row>
    <row r="45" spans="1:9" x14ac:dyDescent="0.25">
      <c r="F45">
        <v>1.82</v>
      </c>
    </row>
    <row r="46" spans="1:9" x14ac:dyDescent="0.25">
      <c r="F46">
        <f>4630/2590</f>
        <v>1.7876447876447876</v>
      </c>
    </row>
    <row r="47" spans="1:9" x14ac:dyDescent="0.25">
      <c r="F47">
        <f>1.82/1.7876</f>
        <v>1.018124860147684</v>
      </c>
    </row>
    <row r="48" spans="1:9" x14ac:dyDescent="0.25">
      <c r="F48">
        <f>54/53</f>
        <v>1.0188679245283019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48"/>
  <sheetViews>
    <sheetView topLeftCell="A3" zoomScale="70" zoomScaleNormal="70" workbookViewId="0">
      <selection activeCell="AF23" sqref="AF23"/>
    </sheetView>
  </sheetViews>
  <sheetFormatPr defaultRowHeight="15" x14ac:dyDescent="0.25"/>
  <cols>
    <col min="1" max="1" width="39.140625" customWidth="1"/>
    <col min="2" max="2" width="11.85546875" bestFit="1" customWidth="1"/>
  </cols>
  <sheetData>
    <row r="1" spans="1:47" x14ac:dyDescent="0.25">
      <c r="B1" s="2" t="s">
        <v>88</v>
      </c>
    </row>
    <row r="2" spans="1:47" x14ac:dyDescent="0.25">
      <c r="B2" s="3" t="s">
        <v>89</v>
      </c>
    </row>
    <row r="4" spans="1:47" x14ac:dyDescent="0.25">
      <c r="A4" s="16" t="s">
        <v>90</v>
      </c>
      <c r="B4" s="16"/>
      <c r="C4" s="16"/>
      <c r="D4" s="16"/>
      <c r="E4" s="16"/>
      <c r="F4" s="16"/>
      <c r="G4" s="16"/>
      <c r="H4" s="16"/>
      <c r="I4" s="16"/>
    </row>
    <row r="6" spans="1:47" x14ac:dyDescent="0.25">
      <c r="A6" t="s">
        <v>91</v>
      </c>
      <c r="B6" t="s">
        <v>92</v>
      </c>
    </row>
    <row r="8" spans="1:47" x14ac:dyDescent="0.25">
      <c r="A8" s="1" t="s">
        <v>93</v>
      </c>
      <c r="B8" s="6">
        <v>5.3999999999999999E-2</v>
      </c>
    </row>
    <row r="9" spans="1:47" x14ac:dyDescent="0.25">
      <c r="A9" s="1" t="s">
        <v>94</v>
      </c>
      <c r="B9" s="2">
        <v>42</v>
      </c>
      <c r="E9" t="s">
        <v>95</v>
      </c>
    </row>
    <row r="10" spans="1:47" x14ac:dyDescent="0.25">
      <c r="A10" s="1" t="s">
        <v>96</v>
      </c>
      <c r="B10" s="7">
        <f>1/B9</f>
        <v>2.3809523809523808E-2</v>
      </c>
      <c r="E10" t="s">
        <v>97</v>
      </c>
      <c r="F10" t="s">
        <v>98</v>
      </c>
      <c r="G10" t="s">
        <v>99</v>
      </c>
      <c r="H10" t="s">
        <v>100</v>
      </c>
    </row>
    <row r="11" spans="1:47" x14ac:dyDescent="0.25">
      <c r="A11" s="1" t="s">
        <v>101</v>
      </c>
      <c r="B11" s="10">
        <v>0.5</v>
      </c>
      <c r="E11">
        <v>40</v>
      </c>
      <c r="F11">
        <v>66</v>
      </c>
      <c r="G11">
        <v>80</v>
      </c>
      <c r="H11">
        <v>40</v>
      </c>
    </row>
    <row r="12" spans="1:47" x14ac:dyDescent="0.25">
      <c r="A12" s="1" t="s">
        <v>102</v>
      </c>
      <c r="B12" s="10">
        <v>0.01</v>
      </c>
    </row>
    <row r="13" spans="1:47" x14ac:dyDescent="0.25">
      <c r="A13" s="1" t="s">
        <v>103</v>
      </c>
      <c r="B13" s="2">
        <v>700</v>
      </c>
      <c r="C13" t="s">
        <v>104</v>
      </c>
    </row>
    <row r="15" spans="1:47" x14ac:dyDescent="0.25">
      <c r="A15" s="5" t="s">
        <v>104</v>
      </c>
      <c r="B15" s="5">
        <v>2020</v>
      </c>
      <c r="C15" s="5">
        <v>2021</v>
      </c>
      <c r="D15" s="5">
        <v>2022</v>
      </c>
      <c r="E15" s="5">
        <v>2023</v>
      </c>
      <c r="F15" s="5">
        <v>2024</v>
      </c>
      <c r="G15" s="5">
        <v>2025</v>
      </c>
      <c r="H15" s="5">
        <v>2026</v>
      </c>
      <c r="I15" s="5">
        <v>2027</v>
      </c>
      <c r="J15" s="5">
        <v>2028</v>
      </c>
      <c r="K15" s="5">
        <v>2029</v>
      </c>
      <c r="L15" s="5">
        <v>2030</v>
      </c>
      <c r="M15" s="5">
        <v>2031</v>
      </c>
      <c r="N15" s="5">
        <v>2032</v>
      </c>
      <c r="O15" s="5">
        <v>2033</v>
      </c>
      <c r="P15" s="5">
        <v>2034</v>
      </c>
      <c r="Q15" s="5">
        <v>2035</v>
      </c>
      <c r="R15" s="5">
        <v>2036</v>
      </c>
      <c r="S15" s="5">
        <v>2037</v>
      </c>
      <c r="T15" s="5">
        <v>2038</v>
      </c>
      <c r="U15" s="5">
        <v>2039</v>
      </c>
      <c r="V15" s="5">
        <v>2040</v>
      </c>
      <c r="W15" s="5">
        <v>2041</v>
      </c>
      <c r="X15" s="5">
        <v>2042</v>
      </c>
      <c r="Y15" s="5">
        <v>2043</v>
      </c>
      <c r="Z15" s="5">
        <v>2044</v>
      </c>
      <c r="AA15" s="5">
        <v>2045</v>
      </c>
      <c r="AB15" s="5">
        <v>2046</v>
      </c>
      <c r="AC15" s="5">
        <v>2047</v>
      </c>
      <c r="AD15" s="5">
        <v>2048</v>
      </c>
      <c r="AE15" s="5">
        <v>2049</v>
      </c>
      <c r="AF15" s="5">
        <v>2050</v>
      </c>
      <c r="AG15" s="5">
        <v>2051</v>
      </c>
      <c r="AH15" s="5">
        <v>2052</v>
      </c>
      <c r="AI15" s="5">
        <v>2053</v>
      </c>
      <c r="AJ15" s="5">
        <v>2054</v>
      </c>
      <c r="AK15" s="5">
        <v>2055</v>
      </c>
      <c r="AL15" s="5">
        <v>2056</v>
      </c>
      <c r="AM15" s="5">
        <v>2057</v>
      </c>
      <c r="AN15" s="5">
        <v>2058</v>
      </c>
      <c r="AO15" s="5">
        <v>2059</v>
      </c>
      <c r="AP15" s="5">
        <v>2060</v>
      </c>
      <c r="AQ15" s="5">
        <v>2061</v>
      </c>
      <c r="AR15" s="5">
        <v>2062</v>
      </c>
      <c r="AS15" s="5">
        <v>2063</v>
      </c>
      <c r="AT15" s="5">
        <v>2064</v>
      </c>
      <c r="AU15" s="5">
        <v>2065</v>
      </c>
    </row>
    <row r="16" spans="1:47" x14ac:dyDescent="0.25">
      <c r="A16" s="5" t="s">
        <v>105</v>
      </c>
      <c r="B16" s="3">
        <f>B13</f>
        <v>700</v>
      </c>
      <c r="C16" s="4">
        <f t="shared" ref="C16:AU16" si="0">B19</f>
        <v>711.64285714285711</v>
      </c>
      <c r="D16" s="4">
        <f t="shared" si="0"/>
        <v>725.93707482993193</v>
      </c>
      <c r="E16" s="4">
        <f t="shared" si="0"/>
        <v>742.81952542921931</v>
      </c>
      <c r="F16" s="4">
        <f t="shared" si="0"/>
        <v>760.27620339519024</v>
      </c>
      <c r="G16" s="4">
        <f t="shared" si="0"/>
        <v>781.22200807625711</v>
      </c>
      <c r="H16" s="4">
        <f t="shared" si="0"/>
        <v>821.19291264587002</v>
      </c>
      <c r="I16" s="4">
        <f t="shared" si="0"/>
        <v>871.9264147257303</v>
      </c>
      <c r="J16" s="4">
        <f t="shared" si="0"/>
        <v>921.45197627987955</v>
      </c>
      <c r="K16" s="4">
        <f t="shared" si="0"/>
        <v>969.79835779702523</v>
      </c>
      <c r="L16" s="4">
        <f t="shared" si="0"/>
        <v>1016.9936349923343</v>
      </c>
      <c r="M16" s="4">
        <f t="shared" si="0"/>
        <v>1063.0652151115644</v>
      </c>
      <c r="N16" s="4">
        <f t="shared" si="0"/>
        <v>1108.0398528470034</v>
      </c>
      <c r="O16" s="4">
        <f t="shared" si="0"/>
        <v>1151.9436658744557</v>
      </c>
      <c r="P16" s="4">
        <f t="shared" si="0"/>
        <v>1194.802150020302</v>
      </c>
      <c r="Q16" s="4">
        <f t="shared" si="0"/>
        <v>1236.6401940674377</v>
      </c>
      <c r="R16" s="4">
        <f t="shared" si="0"/>
        <v>1277.4820942086892</v>
      </c>
      <c r="S16" s="4">
        <f t="shared" si="0"/>
        <v>1317.3515681561014</v>
      </c>
      <c r="T16" s="4">
        <f t="shared" si="0"/>
        <v>1356.2717689142894</v>
      </c>
      <c r="U16" s="4">
        <f t="shared" si="0"/>
        <v>1394.2652982258539</v>
      </c>
      <c r="V16" s="4">
        <f t="shared" si="0"/>
        <v>1431.3542196966669</v>
      </c>
      <c r="W16" s="4">
        <f t="shared" si="0"/>
        <v>1467.560071608651</v>
      </c>
      <c r="X16" s="4">
        <f t="shared" si="0"/>
        <v>1491.1895937132069</v>
      </c>
      <c r="Y16" s="4">
        <f t="shared" si="0"/>
        <v>1514.2565081486068</v>
      </c>
      <c r="Z16" s="4">
        <f t="shared" si="0"/>
        <v>1536.7742103355447</v>
      </c>
      <c r="AA16" s="4">
        <f t="shared" si="0"/>
        <v>1558.755776756127</v>
      </c>
      <c r="AB16" s="4">
        <f t="shared" si="0"/>
        <v>1580.2139725476479</v>
      </c>
      <c r="AC16" s="4">
        <f t="shared" si="0"/>
        <v>1601.1612589155611</v>
      </c>
      <c r="AD16" s="4">
        <f t="shared" si="0"/>
        <v>1621.6098003699526</v>
      </c>
      <c r="AE16" s="4">
        <f t="shared" si="0"/>
        <v>1641.5714717897156</v>
      </c>
      <c r="AF16" s="4">
        <f t="shared" si="0"/>
        <v>1661.0578653185319</v>
      </c>
      <c r="AG16" s="4">
        <f t="shared" si="0"/>
        <v>1680.080297096662</v>
      </c>
      <c r="AH16" s="4">
        <f t="shared" si="0"/>
        <v>1698.6498138324557</v>
      </c>
      <c r="AI16" s="4">
        <f t="shared" si="0"/>
        <v>1716.7771992173973</v>
      </c>
      <c r="AJ16" s="4">
        <f t="shared" si="0"/>
        <v>1734.4729801884116</v>
      </c>
      <c r="AK16" s="4">
        <f t="shared" si="0"/>
        <v>1751.7474330410685</v>
      </c>
      <c r="AL16" s="4">
        <f t="shared" si="0"/>
        <v>1768.6105893972335</v>
      </c>
      <c r="AM16" s="4">
        <f t="shared" si="0"/>
        <v>1785.0722420306327</v>
      </c>
      <c r="AN16" s="4">
        <f t="shared" si="0"/>
        <v>1801.1419505537128</v>
      </c>
      <c r="AO16" s="4">
        <f t="shared" si="0"/>
        <v>1816.8290469691005</v>
      </c>
      <c r="AP16" s="4">
        <f t="shared" si="0"/>
        <v>1832.1426410888839</v>
      </c>
      <c r="AQ16" s="4">
        <f t="shared" si="0"/>
        <v>1847.0916258248628</v>
      </c>
      <c r="AR16" s="4">
        <f t="shared" si="0"/>
        <v>1861.6846823528422</v>
      </c>
      <c r="AS16" s="4">
        <f t="shared" si="0"/>
        <v>1875.9302851539651</v>
      </c>
      <c r="AT16" s="4">
        <f t="shared" si="0"/>
        <v>1889.8367069360136</v>
      </c>
      <c r="AU16" s="4">
        <f t="shared" si="0"/>
        <v>1903.4120234375371</v>
      </c>
    </row>
    <row r="17" spans="1:47" x14ac:dyDescent="0.25">
      <c r="A17" s="5" t="s">
        <v>106</v>
      </c>
      <c r="B17" s="2">
        <v>29</v>
      </c>
      <c r="C17" s="2">
        <v>32</v>
      </c>
      <c r="D17" s="2">
        <v>35</v>
      </c>
      <c r="E17" s="2">
        <v>36</v>
      </c>
      <c r="F17" s="2">
        <v>40</v>
      </c>
      <c r="G17" s="2">
        <v>60</v>
      </c>
      <c r="H17" s="2">
        <v>72</v>
      </c>
      <c r="I17" s="2">
        <v>72</v>
      </c>
      <c r="J17" s="2">
        <v>72</v>
      </c>
      <c r="K17" s="2">
        <v>72</v>
      </c>
      <c r="L17" s="2">
        <v>72</v>
      </c>
      <c r="M17" s="2">
        <v>72</v>
      </c>
      <c r="N17" s="2">
        <v>72</v>
      </c>
      <c r="O17" s="2">
        <v>72</v>
      </c>
      <c r="P17" s="2">
        <v>72</v>
      </c>
      <c r="Q17" s="2">
        <v>72</v>
      </c>
      <c r="R17" s="2">
        <v>72</v>
      </c>
      <c r="S17" s="2">
        <v>72</v>
      </c>
      <c r="T17" s="2">
        <v>72</v>
      </c>
      <c r="U17" s="2">
        <v>72</v>
      </c>
      <c r="V17" s="2">
        <v>72</v>
      </c>
      <c r="W17" s="2">
        <v>60</v>
      </c>
      <c r="X17" s="2">
        <v>60</v>
      </c>
      <c r="Y17" s="2">
        <v>60</v>
      </c>
      <c r="Z17" s="2">
        <v>60</v>
      </c>
      <c r="AA17" s="2">
        <v>60</v>
      </c>
      <c r="AB17" s="2">
        <v>60</v>
      </c>
      <c r="AC17" s="2">
        <v>60</v>
      </c>
      <c r="AD17" s="2">
        <v>60</v>
      </c>
      <c r="AE17" s="2">
        <v>60</v>
      </c>
      <c r="AF17" s="2">
        <v>60</v>
      </c>
      <c r="AG17" s="2">
        <v>60</v>
      </c>
      <c r="AH17" s="2">
        <v>60</v>
      </c>
      <c r="AI17" s="2">
        <v>60</v>
      </c>
      <c r="AJ17" s="2">
        <v>60</v>
      </c>
      <c r="AK17" s="2">
        <v>60</v>
      </c>
      <c r="AL17" s="2">
        <v>60</v>
      </c>
      <c r="AM17" s="2">
        <v>60</v>
      </c>
      <c r="AN17" s="2">
        <v>60</v>
      </c>
      <c r="AO17" s="2">
        <v>60</v>
      </c>
      <c r="AP17" s="2">
        <v>60</v>
      </c>
      <c r="AQ17" s="2">
        <v>60</v>
      </c>
      <c r="AR17" s="2">
        <v>60</v>
      </c>
      <c r="AS17" s="2">
        <v>60</v>
      </c>
      <c r="AT17" s="2">
        <v>60</v>
      </c>
      <c r="AU17" s="2">
        <v>60</v>
      </c>
    </row>
    <row r="18" spans="1:47" x14ac:dyDescent="0.25">
      <c r="A18" s="5" t="s">
        <v>107</v>
      </c>
      <c r="B18" s="4">
        <f t="shared" ref="B18:AU18" si="1">((B16+B17)*$B10)</f>
        <v>17.357142857142858</v>
      </c>
      <c r="C18" s="4">
        <f t="shared" si="1"/>
        <v>17.705782312925169</v>
      </c>
      <c r="D18" s="4">
        <f t="shared" si="1"/>
        <v>18.117549400712665</v>
      </c>
      <c r="E18" s="4">
        <f t="shared" si="1"/>
        <v>18.543322034029032</v>
      </c>
      <c r="F18" s="4">
        <f t="shared" si="1"/>
        <v>19.0541953189331</v>
      </c>
      <c r="G18" s="4">
        <f t="shared" si="1"/>
        <v>20.029095430387073</v>
      </c>
      <c r="H18" s="4">
        <f t="shared" si="1"/>
        <v>21.266497920139763</v>
      </c>
      <c r="I18" s="4">
        <f t="shared" si="1"/>
        <v>22.474438445850719</v>
      </c>
      <c r="J18" s="4">
        <f t="shared" si="1"/>
        <v>23.653618482854274</v>
      </c>
      <c r="K18" s="4">
        <f t="shared" si="1"/>
        <v>24.804722804691078</v>
      </c>
      <c r="L18" s="4">
        <f t="shared" si="1"/>
        <v>25.928419880769859</v>
      </c>
      <c r="M18" s="4">
        <f t="shared" si="1"/>
        <v>27.025362264561057</v>
      </c>
      <c r="N18" s="4">
        <f t="shared" si="1"/>
        <v>28.096186972547699</v>
      </c>
      <c r="O18" s="4">
        <f t="shared" si="1"/>
        <v>29.141515854153706</v>
      </c>
      <c r="P18" s="4">
        <f t="shared" si="1"/>
        <v>30.161955952864332</v>
      </c>
      <c r="Q18" s="4">
        <f t="shared" si="1"/>
        <v>31.158099858748514</v>
      </c>
      <c r="R18" s="4">
        <f t="shared" si="1"/>
        <v>32.13052605258784</v>
      </c>
      <c r="S18" s="4">
        <f t="shared" si="1"/>
        <v>33.079799241811934</v>
      </c>
      <c r="T18" s="4">
        <f t="shared" si="1"/>
        <v>34.006470688435456</v>
      </c>
      <c r="U18" s="4">
        <f t="shared" si="1"/>
        <v>34.911078529186995</v>
      </c>
      <c r="V18" s="4">
        <f t="shared" si="1"/>
        <v>35.794148088015874</v>
      </c>
      <c r="W18" s="4">
        <f t="shared" si="1"/>
        <v>36.370477895444068</v>
      </c>
      <c r="X18" s="4">
        <f t="shared" si="1"/>
        <v>36.933085564600162</v>
      </c>
      <c r="Y18" s="4">
        <f t="shared" si="1"/>
        <v>37.482297813062068</v>
      </c>
      <c r="Z18" s="4">
        <f t="shared" si="1"/>
        <v>38.018433579417731</v>
      </c>
      <c r="AA18" s="4">
        <f t="shared" si="1"/>
        <v>38.541804208479213</v>
      </c>
      <c r="AB18" s="4">
        <f t="shared" si="1"/>
        <v>39.052713632086856</v>
      </c>
      <c r="AC18" s="4">
        <f t="shared" si="1"/>
        <v>39.551458545608597</v>
      </c>
      <c r="AD18" s="4">
        <f t="shared" si="1"/>
        <v>40.038328580236964</v>
      </c>
      <c r="AE18" s="4">
        <f t="shared" si="1"/>
        <v>40.513606471183699</v>
      </c>
      <c r="AF18" s="4">
        <f t="shared" si="1"/>
        <v>40.977568221869802</v>
      </c>
      <c r="AG18" s="4">
        <f t="shared" si="1"/>
        <v>41.430483264206238</v>
      </c>
      <c r="AH18" s="4">
        <f t="shared" si="1"/>
        <v>41.872614615058467</v>
      </c>
      <c r="AI18" s="4">
        <f t="shared" si="1"/>
        <v>42.304219028985649</v>
      </c>
      <c r="AJ18" s="4">
        <f t="shared" si="1"/>
        <v>42.725547147343129</v>
      </c>
      <c r="AK18" s="4">
        <f t="shared" si="1"/>
        <v>43.136843643834958</v>
      </c>
      <c r="AL18" s="4">
        <f t="shared" si="1"/>
        <v>43.538347366600796</v>
      </c>
      <c r="AM18" s="4">
        <f t="shared" si="1"/>
        <v>43.93029147691982</v>
      </c>
      <c r="AN18" s="4">
        <f t="shared" si="1"/>
        <v>44.312903584612208</v>
      </c>
      <c r="AO18" s="4">
        <f t="shared" si="1"/>
        <v>44.686405880216675</v>
      </c>
      <c r="AP18" s="4">
        <f t="shared" si="1"/>
        <v>45.051015264021046</v>
      </c>
      <c r="AQ18" s="4">
        <f t="shared" si="1"/>
        <v>45.406943472020544</v>
      </c>
      <c r="AR18" s="4">
        <f t="shared" si="1"/>
        <v>45.754397198877193</v>
      </c>
      <c r="AS18" s="4">
        <f t="shared" si="1"/>
        <v>46.093578217951546</v>
      </c>
      <c r="AT18" s="4">
        <f t="shared" si="1"/>
        <v>46.424683498476512</v>
      </c>
      <c r="AU18" s="4">
        <f t="shared" si="1"/>
        <v>46.747905319941353</v>
      </c>
    </row>
    <row r="19" spans="1:47" x14ac:dyDescent="0.25">
      <c r="A19" s="5" t="s">
        <v>108</v>
      </c>
      <c r="B19" s="4">
        <f t="shared" ref="B19:AU19" si="2">B16+B17-B18</f>
        <v>711.64285714285711</v>
      </c>
      <c r="C19" s="4">
        <f t="shared" si="2"/>
        <v>725.93707482993193</v>
      </c>
      <c r="D19" s="4">
        <f t="shared" si="2"/>
        <v>742.81952542921931</v>
      </c>
      <c r="E19" s="4">
        <f t="shared" si="2"/>
        <v>760.27620339519024</v>
      </c>
      <c r="F19" s="4">
        <f t="shared" si="2"/>
        <v>781.22200807625711</v>
      </c>
      <c r="G19" s="4">
        <f t="shared" si="2"/>
        <v>821.19291264587002</v>
      </c>
      <c r="H19" s="4">
        <f t="shared" si="2"/>
        <v>871.9264147257303</v>
      </c>
      <c r="I19" s="4">
        <f t="shared" si="2"/>
        <v>921.45197627987955</v>
      </c>
      <c r="J19" s="4">
        <f t="shared" si="2"/>
        <v>969.79835779702523</v>
      </c>
      <c r="K19" s="4">
        <f t="shared" si="2"/>
        <v>1016.9936349923343</v>
      </c>
      <c r="L19" s="4">
        <f t="shared" si="2"/>
        <v>1063.0652151115644</v>
      </c>
      <c r="M19" s="4">
        <f t="shared" si="2"/>
        <v>1108.0398528470034</v>
      </c>
      <c r="N19" s="4">
        <f t="shared" si="2"/>
        <v>1151.9436658744557</v>
      </c>
      <c r="O19" s="4">
        <f t="shared" si="2"/>
        <v>1194.802150020302</v>
      </c>
      <c r="P19" s="4">
        <f t="shared" si="2"/>
        <v>1236.6401940674377</v>
      </c>
      <c r="Q19" s="4">
        <f t="shared" si="2"/>
        <v>1277.4820942086892</v>
      </c>
      <c r="R19" s="4">
        <f t="shared" si="2"/>
        <v>1317.3515681561014</v>
      </c>
      <c r="S19" s="4">
        <f t="shared" si="2"/>
        <v>1356.2717689142894</v>
      </c>
      <c r="T19" s="4">
        <f t="shared" si="2"/>
        <v>1394.2652982258539</v>
      </c>
      <c r="U19" s="4">
        <f t="shared" si="2"/>
        <v>1431.3542196966669</v>
      </c>
      <c r="V19" s="4">
        <f t="shared" si="2"/>
        <v>1467.560071608651</v>
      </c>
      <c r="W19" s="4">
        <f t="shared" si="2"/>
        <v>1491.1895937132069</v>
      </c>
      <c r="X19" s="4">
        <f t="shared" si="2"/>
        <v>1514.2565081486068</v>
      </c>
      <c r="Y19" s="4">
        <f t="shared" si="2"/>
        <v>1536.7742103355447</v>
      </c>
      <c r="Z19" s="4">
        <f t="shared" si="2"/>
        <v>1558.755776756127</v>
      </c>
      <c r="AA19" s="4">
        <f t="shared" si="2"/>
        <v>1580.2139725476479</v>
      </c>
      <c r="AB19" s="4">
        <f t="shared" si="2"/>
        <v>1601.1612589155611</v>
      </c>
      <c r="AC19" s="4">
        <f t="shared" si="2"/>
        <v>1621.6098003699526</v>
      </c>
      <c r="AD19" s="4">
        <f t="shared" si="2"/>
        <v>1641.5714717897156</v>
      </c>
      <c r="AE19" s="4">
        <f t="shared" si="2"/>
        <v>1661.0578653185319</v>
      </c>
      <c r="AF19" s="4">
        <f t="shared" si="2"/>
        <v>1680.080297096662</v>
      </c>
      <c r="AG19" s="4">
        <f t="shared" si="2"/>
        <v>1698.6498138324557</v>
      </c>
      <c r="AH19" s="4">
        <f t="shared" si="2"/>
        <v>1716.7771992173973</v>
      </c>
      <c r="AI19" s="4">
        <f t="shared" si="2"/>
        <v>1734.4729801884116</v>
      </c>
      <c r="AJ19" s="4">
        <f t="shared" si="2"/>
        <v>1751.7474330410685</v>
      </c>
      <c r="AK19" s="4">
        <f t="shared" si="2"/>
        <v>1768.6105893972335</v>
      </c>
      <c r="AL19" s="4">
        <f t="shared" si="2"/>
        <v>1785.0722420306327</v>
      </c>
      <c r="AM19" s="4">
        <f t="shared" si="2"/>
        <v>1801.1419505537128</v>
      </c>
      <c r="AN19" s="4">
        <f t="shared" si="2"/>
        <v>1816.8290469691005</v>
      </c>
      <c r="AO19" s="4">
        <f t="shared" si="2"/>
        <v>1832.1426410888839</v>
      </c>
      <c r="AP19" s="4">
        <f t="shared" si="2"/>
        <v>1847.0916258248628</v>
      </c>
      <c r="AQ19" s="4">
        <f t="shared" si="2"/>
        <v>1861.6846823528422</v>
      </c>
      <c r="AR19" s="4">
        <f t="shared" si="2"/>
        <v>1875.9302851539651</v>
      </c>
      <c r="AS19" s="4">
        <f t="shared" si="2"/>
        <v>1889.8367069360136</v>
      </c>
      <c r="AT19" s="4">
        <f t="shared" si="2"/>
        <v>1903.4120234375371</v>
      </c>
      <c r="AU19" s="4">
        <f t="shared" si="2"/>
        <v>1916.6641181175958</v>
      </c>
    </row>
    <row r="20" spans="1:47" x14ac:dyDescent="0.25">
      <c r="A20" s="5" t="s">
        <v>109</v>
      </c>
      <c r="B20" s="4">
        <f t="shared" ref="B20:AU20" si="3">(B16+B17)*$B8+B18</f>
        <v>56.723142857142861</v>
      </c>
      <c r="C20" s="4">
        <f t="shared" si="3"/>
        <v>57.862496598639453</v>
      </c>
      <c r="D20" s="4">
        <f t="shared" si="3"/>
        <v>59.208151441528983</v>
      </c>
      <c r="E20" s="4">
        <f t="shared" si="3"/>
        <v>60.599576407206875</v>
      </c>
      <c r="F20" s="4">
        <f t="shared" si="3"/>
        <v>62.269110302273376</v>
      </c>
      <c r="G20" s="4">
        <f t="shared" si="3"/>
        <v>65.455083866504964</v>
      </c>
      <c r="H20" s="4">
        <f t="shared" si="3"/>
        <v>69.498915203016736</v>
      </c>
      <c r="I20" s="4">
        <f t="shared" si="3"/>
        <v>73.446464841040154</v>
      </c>
      <c r="J20" s="4">
        <f t="shared" si="3"/>
        <v>77.30002520196777</v>
      </c>
      <c r="K20" s="4">
        <f t="shared" si="3"/>
        <v>81.061834125730442</v>
      </c>
      <c r="L20" s="4">
        <f t="shared" si="3"/>
        <v>84.734076170355905</v>
      </c>
      <c r="M20" s="4">
        <f t="shared" si="3"/>
        <v>88.318883880585531</v>
      </c>
      <c r="N20" s="4">
        <f t="shared" si="3"/>
        <v>91.818339026285884</v>
      </c>
      <c r="O20" s="4">
        <f t="shared" si="3"/>
        <v>95.234473811374315</v>
      </c>
      <c r="P20" s="4">
        <f t="shared" si="3"/>
        <v>98.569272053960631</v>
      </c>
      <c r="Q20" s="4">
        <f t="shared" si="3"/>
        <v>101.82467033839015</v>
      </c>
      <c r="R20" s="4">
        <f t="shared" si="3"/>
        <v>105.00255913985706</v>
      </c>
      <c r="S20" s="4">
        <f t="shared" si="3"/>
        <v>108.10478392224141</v>
      </c>
      <c r="T20" s="4">
        <f t="shared" si="3"/>
        <v>111.13314620980708</v>
      </c>
      <c r="U20" s="4">
        <f t="shared" si="3"/>
        <v>114.08940463338311</v>
      </c>
      <c r="V20" s="4">
        <f t="shared" si="3"/>
        <v>116.97527595163588</v>
      </c>
      <c r="W20" s="4">
        <f t="shared" si="3"/>
        <v>118.85872176231122</v>
      </c>
      <c r="X20" s="4">
        <f t="shared" si="3"/>
        <v>120.69732362511334</v>
      </c>
      <c r="Y20" s="4">
        <f t="shared" si="3"/>
        <v>122.49214925308684</v>
      </c>
      <c r="Z20" s="4">
        <f t="shared" si="3"/>
        <v>124.24424093753714</v>
      </c>
      <c r="AA20" s="4">
        <f t="shared" si="3"/>
        <v>125.95461615331007</v>
      </c>
      <c r="AB20" s="4">
        <f t="shared" si="3"/>
        <v>127.62426814965985</v>
      </c>
      <c r="AC20" s="4">
        <f t="shared" si="3"/>
        <v>129.25416652704888</v>
      </c>
      <c r="AD20" s="4">
        <f t="shared" si="3"/>
        <v>130.8452578002144</v>
      </c>
      <c r="AE20" s="4">
        <f t="shared" si="3"/>
        <v>132.39846594782833</v>
      </c>
      <c r="AF20" s="4">
        <f t="shared" si="3"/>
        <v>133.91469294907051</v>
      </c>
      <c r="AG20" s="4">
        <f t="shared" si="3"/>
        <v>135.39481930742599</v>
      </c>
      <c r="AH20" s="4">
        <f t="shared" si="3"/>
        <v>136.83970456201109</v>
      </c>
      <c r="AI20" s="4">
        <f t="shared" si="3"/>
        <v>138.25018778672509</v>
      </c>
      <c r="AJ20" s="4">
        <f t="shared" si="3"/>
        <v>139.62708807751736</v>
      </c>
      <c r="AK20" s="4">
        <f t="shared" si="3"/>
        <v>140.97120502805265</v>
      </c>
      <c r="AL20" s="4">
        <f t="shared" si="3"/>
        <v>142.28331919405142</v>
      </c>
      <c r="AM20" s="4">
        <f t="shared" si="3"/>
        <v>143.56419254657396</v>
      </c>
      <c r="AN20" s="4">
        <f t="shared" si="3"/>
        <v>144.81456891451271</v>
      </c>
      <c r="AO20" s="4">
        <f t="shared" si="3"/>
        <v>146.0351744165481</v>
      </c>
      <c r="AP20" s="4">
        <f t="shared" si="3"/>
        <v>147.22671788282076</v>
      </c>
      <c r="AQ20" s="4">
        <f t="shared" si="3"/>
        <v>148.38989126656315</v>
      </c>
      <c r="AR20" s="4">
        <f t="shared" si="3"/>
        <v>149.52537004593066</v>
      </c>
      <c r="AS20" s="4">
        <f t="shared" si="3"/>
        <v>150.63381361626566</v>
      </c>
      <c r="AT20" s="4">
        <f t="shared" si="3"/>
        <v>151.71586567302126</v>
      </c>
      <c r="AU20" s="4">
        <f t="shared" si="3"/>
        <v>152.77215458556836</v>
      </c>
    </row>
    <row r="21" spans="1:47" x14ac:dyDescent="0.25">
      <c r="A21" s="5" t="s">
        <v>110</v>
      </c>
      <c r="B21" s="11">
        <f>B20*(1/B11-1)</f>
        <v>56.723142857142861</v>
      </c>
      <c r="C21" s="4">
        <f t="shared" ref="C21:AU21" si="4">$B21*(1+$B$12)^(C15-$B15)</f>
        <v>57.290374285714293</v>
      </c>
      <c r="D21" s="4">
        <f t="shared" si="4"/>
        <v>57.863278028571436</v>
      </c>
      <c r="E21" s="4">
        <f t="shared" si="4"/>
        <v>58.441910808857145</v>
      </c>
      <c r="F21" s="4">
        <f t="shared" si="4"/>
        <v>59.02632991694572</v>
      </c>
      <c r="G21" s="4">
        <f t="shared" si="4"/>
        <v>59.61659321611517</v>
      </c>
      <c r="H21" s="4">
        <f t="shared" si="4"/>
        <v>60.212759148276334</v>
      </c>
      <c r="I21" s="4">
        <f t="shared" si="4"/>
        <v>60.814886739759082</v>
      </c>
      <c r="J21" s="4">
        <f t="shared" si="4"/>
        <v>61.423035607156692</v>
      </c>
      <c r="K21" s="4">
        <f t="shared" si="4"/>
        <v>62.037265963228258</v>
      </c>
      <c r="L21" s="4">
        <f t="shared" si="4"/>
        <v>62.657638622860546</v>
      </c>
      <c r="M21" s="4">
        <f t="shared" si="4"/>
        <v>63.284215009089138</v>
      </c>
      <c r="N21" s="4">
        <f t="shared" si="4"/>
        <v>63.917057159180032</v>
      </c>
      <c r="O21" s="4">
        <f t="shared" si="4"/>
        <v>64.556227730771838</v>
      </c>
      <c r="P21" s="4">
        <f t="shared" si="4"/>
        <v>65.201790008079556</v>
      </c>
      <c r="Q21" s="4">
        <f t="shared" si="4"/>
        <v>65.853807908160334</v>
      </c>
      <c r="R21" s="4">
        <f t="shared" si="4"/>
        <v>66.512345987241957</v>
      </c>
      <c r="S21" s="4">
        <f t="shared" si="4"/>
        <v>67.177469447114376</v>
      </c>
      <c r="T21" s="4">
        <f t="shared" si="4"/>
        <v>67.84924414158553</v>
      </c>
      <c r="U21" s="4">
        <f t="shared" si="4"/>
        <v>68.527736583001371</v>
      </c>
      <c r="V21" s="4">
        <f t="shared" si="4"/>
        <v>69.213013948831389</v>
      </c>
      <c r="W21" s="4">
        <f t="shared" si="4"/>
        <v>69.905144088319702</v>
      </c>
      <c r="X21" s="4">
        <f t="shared" si="4"/>
        <v>70.604195529202912</v>
      </c>
      <c r="Y21" s="4">
        <f t="shared" si="4"/>
        <v>71.310237484494934</v>
      </c>
      <c r="Z21" s="4">
        <f t="shared" si="4"/>
        <v>72.023339859339899</v>
      </c>
      <c r="AA21" s="4">
        <f t="shared" si="4"/>
        <v>72.743573257933306</v>
      </c>
      <c r="AB21" s="4">
        <f t="shared" si="4"/>
        <v>73.47100899051263</v>
      </c>
      <c r="AC21" s="4">
        <f t="shared" si="4"/>
        <v>74.205719080417737</v>
      </c>
      <c r="AD21" s="4">
        <f t="shared" si="4"/>
        <v>74.947776271221912</v>
      </c>
      <c r="AE21" s="4">
        <f t="shared" si="4"/>
        <v>75.697254033934144</v>
      </c>
      <c r="AF21" s="4">
        <f t="shared" si="4"/>
        <v>76.454226574273491</v>
      </c>
      <c r="AG21" s="4">
        <f t="shared" si="4"/>
        <v>77.21876884001621</v>
      </c>
      <c r="AH21" s="4">
        <f t="shared" si="4"/>
        <v>77.99095652841639</v>
      </c>
      <c r="AI21" s="4">
        <f t="shared" si="4"/>
        <v>78.770866093700548</v>
      </c>
      <c r="AJ21" s="4">
        <f t="shared" si="4"/>
        <v>79.558574754637561</v>
      </c>
      <c r="AK21" s="4">
        <f t="shared" si="4"/>
        <v>80.354160502183916</v>
      </c>
      <c r="AL21" s="4">
        <f t="shared" si="4"/>
        <v>81.157702107205765</v>
      </c>
      <c r="AM21" s="4">
        <f t="shared" si="4"/>
        <v>81.969279128277833</v>
      </c>
      <c r="AN21" s="4">
        <f t="shared" si="4"/>
        <v>82.788971919560609</v>
      </c>
      <c r="AO21" s="4">
        <f t="shared" si="4"/>
        <v>83.616861638756191</v>
      </c>
      <c r="AP21" s="4">
        <f t="shared" si="4"/>
        <v>84.453030255143787</v>
      </c>
      <c r="AQ21" s="4">
        <f t="shared" si="4"/>
        <v>85.29756055769522</v>
      </c>
      <c r="AR21" s="4">
        <f t="shared" si="4"/>
        <v>86.150536163272193</v>
      </c>
      <c r="AS21" s="4">
        <f t="shared" si="4"/>
        <v>87.012041524904888</v>
      </c>
      <c r="AT21" s="4">
        <f t="shared" si="4"/>
        <v>87.882161940153935</v>
      </c>
      <c r="AU21" s="4">
        <f t="shared" si="4"/>
        <v>88.760983559555484</v>
      </c>
    </row>
    <row r="22" spans="1:47" x14ac:dyDescent="0.25">
      <c r="A22" s="5" t="s">
        <v>111</v>
      </c>
      <c r="B22" s="4">
        <f t="shared" ref="B22:AU22" si="5">B20+B21</f>
        <v>113.44628571428572</v>
      </c>
      <c r="C22" s="4">
        <f t="shared" si="5"/>
        <v>115.15287088435375</v>
      </c>
      <c r="D22" s="4">
        <f t="shared" si="5"/>
        <v>117.07142947010041</v>
      </c>
      <c r="E22" s="4">
        <f t="shared" si="5"/>
        <v>119.04148721606401</v>
      </c>
      <c r="F22" s="4">
        <f t="shared" si="5"/>
        <v>121.2954402192191</v>
      </c>
      <c r="G22" s="4">
        <f t="shared" si="5"/>
        <v>125.07167708262014</v>
      </c>
      <c r="H22" s="4">
        <f t="shared" si="5"/>
        <v>129.71167435129308</v>
      </c>
      <c r="I22" s="4">
        <f t="shared" si="5"/>
        <v>134.26135158079924</v>
      </c>
      <c r="J22" s="4">
        <f t="shared" si="5"/>
        <v>138.72306080912446</v>
      </c>
      <c r="K22" s="4">
        <f t="shared" si="5"/>
        <v>143.09910008895869</v>
      </c>
      <c r="L22" s="4">
        <f t="shared" si="5"/>
        <v>147.39171479321647</v>
      </c>
      <c r="M22" s="4">
        <f t="shared" si="5"/>
        <v>151.60309888967467</v>
      </c>
      <c r="N22" s="4">
        <f t="shared" si="5"/>
        <v>155.7353961854659</v>
      </c>
      <c r="O22" s="4">
        <f t="shared" si="5"/>
        <v>159.79070154214617</v>
      </c>
      <c r="P22" s="4">
        <f t="shared" si="5"/>
        <v>163.77106206204019</v>
      </c>
      <c r="Q22" s="4">
        <f t="shared" si="5"/>
        <v>167.67847824655047</v>
      </c>
      <c r="R22" s="4">
        <f t="shared" si="5"/>
        <v>171.51490512709901</v>
      </c>
      <c r="S22" s="4">
        <f t="shared" si="5"/>
        <v>175.28225336935577</v>
      </c>
      <c r="T22" s="4">
        <f t="shared" si="5"/>
        <v>178.98239035139261</v>
      </c>
      <c r="U22" s="4">
        <f t="shared" si="5"/>
        <v>182.61714121638448</v>
      </c>
      <c r="V22" s="4">
        <f t="shared" si="5"/>
        <v>186.18828990046728</v>
      </c>
      <c r="W22" s="4">
        <f t="shared" si="5"/>
        <v>188.76386585063091</v>
      </c>
      <c r="X22" s="4">
        <f t="shared" si="5"/>
        <v>191.30151915431625</v>
      </c>
      <c r="Y22" s="4">
        <f t="shared" si="5"/>
        <v>193.80238673758177</v>
      </c>
      <c r="Z22" s="4">
        <f t="shared" si="5"/>
        <v>196.26758079687704</v>
      </c>
      <c r="AA22" s="4">
        <f t="shared" si="5"/>
        <v>198.69818941124339</v>
      </c>
      <c r="AB22" s="4">
        <f t="shared" si="5"/>
        <v>201.09527714017247</v>
      </c>
      <c r="AC22" s="4">
        <f t="shared" si="5"/>
        <v>203.45988560746662</v>
      </c>
      <c r="AD22" s="4">
        <f t="shared" si="5"/>
        <v>205.7930340714363</v>
      </c>
      <c r="AE22" s="4">
        <f t="shared" si="5"/>
        <v>208.09571998176247</v>
      </c>
      <c r="AF22" s="4">
        <f t="shared" si="5"/>
        <v>210.368919523344</v>
      </c>
      <c r="AG22" s="4">
        <f t="shared" si="5"/>
        <v>212.61358814744221</v>
      </c>
      <c r="AH22" s="4">
        <f t="shared" si="5"/>
        <v>214.8306610904275</v>
      </c>
      <c r="AI22" s="4">
        <f t="shared" si="5"/>
        <v>217.02105388042565</v>
      </c>
      <c r="AJ22" s="4">
        <f t="shared" si="5"/>
        <v>219.18566283215492</v>
      </c>
      <c r="AK22" s="4">
        <f t="shared" si="5"/>
        <v>221.32536553023658</v>
      </c>
      <c r="AL22" s="4">
        <f t="shared" si="5"/>
        <v>223.44102130125719</v>
      </c>
      <c r="AM22" s="4">
        <f t="shared" si="5"/>
        <v>225.5334716748518</v>
      </c>
      <c r="AN22" s="4">
        <f t="shared" si="5"/>
        <v>227.60354083407333</v>
      </c>
      <c r="AO22" s="4">
        <f t="shared" si="5"/>
        <v>229.65203605530428</v>
      </c>
      <c r="AP22" s="4">
        <f t="shared" si="5"/>
        <v>231.67974813796457</v>
      </c>
      <c r="AQ22" s="4">
        <f t="shared" si="5"/>
        <v>233.68745182425837</v>
      </c>
      <c r="AR22" s="4">
        <f t="shared" si="5"/>
        <v>235.67590620920285</v>
      </c>
      <c r="AS22" s="4">
        <f t="shared" si="5"/>
        <v>237.64585514117056</v>
      </c>
      <c r="AT22" s="4">
        <f t="shared" si="5"/>
        <v>239.59802761317519</v>
      </c>
      <c r="AU22" s="4">
        <f t="shared" si="5"/>
        <v>241.53313814512384</v>
      </c>
    </row>
    <row r="23" spans="1:47" x14ac:dyDescent="0.25">
      <c r="A23" s="8" t="s">
        <v>112</v>
      </c>
      <c r="B23" s="9">
        <f t="shared" ref="B23:AU23" si="6">B22/$B22</f>
        <v>1</v>
      </c>
      <c r="C23" s="9">
        <f t="shared" si="6"/>
        <v>1.0150431118949637</v>
      </c>
      <c r="D23" s="9">
        <f t="shared" si="6"/>
        <v>1.0319547152468669</v>
      </c>
      <c r="E23" s="9">
        <f t="shared" si="6"/>
        <v>1.0493202705275853</v>
      </c>
      <c r="F23" s="9">
        <f t="shared" si="6"/>
        <v>1.069188289907538</v>
      </c>
      <c r="G23" s="9">
        <f t="shared" si="6"/>
        <v>1.1024748522627965</v>
      </c>
      <c r="H23" s="9">
        <f t="shared" si="6"/>
        <v>1.1433752417242793</v>
      </c>
      <c r="I23" s="9">
        <f t="shared" si="6"/>
        <v>1.1834794831356246</v>
      </c>
      <c r="J23" s="9">
        <f t="shared" si="6"/>
        <v>1.2228083091102537</v>
      </c>
      <c r="K23" s="9">
        <f t="shared" si="6"/>
        <v>1.2613819763950098</v>
      </c>
      <c r="L23" s="9">
        <f t="shared" si="6"/>
        <v>1.2992202773779853</v>
      </c>
      <c r="M23" s="9">
        <f t="shared" si="6"/>
        <v>1.3363425513241289</v>
      </c>
      <c r="N23" s="9">
        <f t="shared" si="6"/>
        <v>1.3727676953451367</v>
      </c>
      <c r="O23" s="9">
        <f t="shared" si="6"/>
        <v>1.4085141751099615</v>
      </c>
      <c r="P23" s="9">
        <f t="shared" si="6"/>
        <v>1.4436000353021459</v>
      </c>
      <c r="Q23" s="9">
        <f t="shared" si="6"/>
        <v>1.4780429098300181</v>
      </c>
      <c r="R23" s="9">
        <f t="shared" si="6"/>
        <v>1.5118600317956554</v>
      </c>
      <c r="S23" s="9">
        <f t="shared" si="6"/>
        <v>1.5450682432283753</v>
      </c>
      <c r="T23" s="9">
        <f t="shared" si="6"/>
        <v>1.5776840045883869</v>
      </c>
      <c r="U23" s="9">
        <f t="shared" si="6"/>
        <v>1.6097234040460826</v>
      </c>
      <c r="V23" s="9">
        <f t="shared" si="6"/>
        <v>1.6412021665423422</v>
      </c>
      <c r="W23" s="9">
        <f t="shared" si="6"/>
        <v>1.6639052099601779</v>
      </c>
      <c r="X23" s="9">
        <f t="shared" si="6"/>
        <v>1.6862739749462472</v>
      </c>
      <c r="Y23" s="9">
        <f t="shared" si="6"/>
        <v>1.7083184832130403</v>
      </c>
      <c r="Z23" s="9">
        <f t="shared" si="6"/>
        <v>1.7300485384878674</v>
      </c>
      <c r="AA23" s="9">
        <f t="shared" si="6"/>
        <v>1.751473731909253</v>
      </c>
      <c r="AB23" s="9">
        <f t="shared" si="6"/>
        <v>1.7726034472969048</v>
      </c>
      <c r="AC23" s="9">
        <f t="shared" si="6"/>
        <v>1.7934468662982939</v>
      </c>
      <c r="AD23" s="9">
        <f t="shared" si="6"/>
        <v>1.8140129734147992</v>
      </c>
      <c r="AE23" s="9">
        <f t="shared" si="6"/>
        <v>1.8343105609103076</v>
      </c>
      <c r="AF23" s="9">
        <f t="shared" si="6"/>
        <v>1.8543482336050894</v>
      </c>
      <c r="AG23" s="9">
        <f t="shared" si="6"/>
        <v>1.8741344135577005</v>
      </c>
      <c r="AH23" s="9">
        <f t="shared" si="6"/>
        <v>1.8936773446376036</v>
      </c>
      <c r="AI23" s="9">
        <f t="shared" si="6"/>
        <v>1.9129850969911242</v>
      </c>
      <c r="AJ23" s="9">
        <f t="shared" si="6"/>
        <v>1.9320655714033128</v>
      </c>
      <c r="AK23" s="9">
        <f t="shared" si="6"/>
        <v>1.9509265035582051</v>
      </c>
      <c r="AL23" s="9">
        <f t="shared" si="6"/>
        <v>1.9695754681999289</v>
      </c>
      <c r="AM23" s="9">
        <f t="shared" si="6"/>
        <v>1.9880198831970353</v>
      </c>
      <c r="AN23" s="9">
        <f t="shared" si="6"/>
        <v>2.0062670135123901</v>
      </c>
      <c r="AO23" s="9">
        <f t="shared" si="6"/>
        <v>2.0243239750808812</v>
      </c>
      <c r="AP23" s="9">
        <f t="shared" si="6"/>
        <v>2.0421977385971863</v>
      </c>
      <c r="AQ23" s="9">
        <f t="shared" si="6"/>
        <v>2.05989513321573</v>
      </c>
      <c r="AR23" s="9">
        <f t="shared" si="6"/>
        <v>2.0774228501649867</v>
      </c>
      <c r="AS23" s="9">
        <f t="shared" si="6"/>
        <v>2.0947874462781555</v>
      </c>
      <c r="AT23" s="9">
        <f t="shared" si="6"/>
        <v>2.1119953474422459</v>
      </c>
      <c r="AU23" s="9">
        <f t="shared" si="6"/>
        <v>2.1290528519675349</v>
      </c>
    </row>
    <row r="24" spans="1:47" x14ac:dyDescent="0.25">
      <c r="B24" s="12">
        <f t="shared" ref="B24:AU24" si="7">B20/B22</f>
        <v>0.5</v>
      </c>
      <c r="C24" s="12">
        <f t="shared" si="7"/>
        <v>0.50248418605863387</v>
      </c>
      <c r="D24" s="12">
        <f t="shared" si="7"/>
        <v>0.50574381563052939</v>
      </c>
      <c r="E24" s="12">
        <f t="shared" si="7"/>
        <v>0.50906266230710606</v>
      </c>
      <c r="F24" s="12">
        <f t="shared" si="7"/>
        <v>0.51336728066391824</v>
      </c>
      <c r="G24" s="12">
        <f t="shared" si="7"/>
        <v>0.52334057872484185</v>
      </c>
      <c r="H24" s="12">
        <f t="shared" si="7"/>
        <v>0.53579537501609553</v>
      </c>
      <c r="I24" s="12">
        <f t="shared" si="7"/>
        <v>0.54704100603992245</v>
      </c>
      <c r="J24" s="12">
        <f t="shared" si="7"/>
        <v>0.55722548760893109</v>
      </c>
      <c r="K24" s="12">
        <f t="shared" si="7"/>
        <v>0.56647340252550649</v>
      </c>
      <c r="L24" s="12">
        <f t="shared" si="7"/>
        <v>0.57489036130174453</v>
      </c>
      <c r="M24" s="12">
        <f t="shared" si="7"/>
        <v>0.58256648134123812</v>
      </c>
      <c r="N24" s="12">
        <f t="shared" si="7"/>
        <v>0.58957912764378273</v>
      </c>
      <c r="O24" s="12">
        <f t="shared" si="7"/>
        <v>0.59599509165591469</v>
      </c>
      <c r="P24" s="12">
        <f t="shared" si="7"/>
        <v>0.60187233820722463</v>
      </c>
      <c r="Q24" s="12">
        <f t="shared" si="7"/>
        <v>0.60726141722654214</v>
      </c>
      <c r="R24" s="12">
        <f t="shared" si="7"/>
        <v>0.61220661295906731</v>
      </c>
      <c r="S24" s="12">
        <f t="shared" si="7"/>
        <v>0.61674688591800786</v>
      </c>
      <c r="T24" s="12">
        <f t="shared" si="7"/>
        <v>0.62091664990964501</v>
      </c>
      <c r="U24" s="12">
        <f t="shared" si="7"/>
        <v>0.62474641686673693</v>
      </c>
      <c r="V24" s="12">
        <f t="shared" si="7"/>
        <v>0.62826333500441212</v>
      </c>
      <c r="W24" s="12">
        <f t="shared" si="7"/>
        <v>0.62966882579298455</v>
      </c>
      <c r="X24" s="12">
        <f t="shared" si="7"/>
        <v>0.63092715707997604</v>
      </c>
      <c r="Y24" s="12">
        <f t="shared" si="7"/>
        <v>0.63204664976054914</v>
      </c>
      <c r="Z24" s="12">
        <f t="shared" si="7"/>
        <v>0.63303496396646919</v>
      </c>
      <c r="AA24" s="12">
        <f t="shared" si="7"/>
        <v>0.63389916398595469</v>
      </c>
      <c r="AB24" s="12">
        <f t="shared" si="7"/>
        <v>0.63464577569715863</v>
      </c>
      <c r="AC24" s="12">
        <f t="shared" si="7"/>
        <v>0.6352808375033584</v>
      </c>
      <c r="AD24" s="12">
        <f t="shared" si="7"/>
        <v>0.6358099456116405</v>
      </c>
      <c r="AE24" s="12">
        <f t="shared" si="7"/>
        <v>0.63623829437449142</v>
      </c>
      <c r="AF24" s="12">
        <f t="shared" si="7"/>
        <v>0.63657071231099993</v>
      </c>
      <c r="AG24" s="12">
        <f t="shared" si="7"/>
        <v>0.63681169433786644</v>
      </c>
      <c r="AH24" s="12">
        <f t="shared" si="7"/>
        <v>0.63696543066732869</v>
      </c>
      <c r="AI24" s="12">
        <f t="shared" si="7"/>
        <v>0.63703583276716658</v>
      </c>
      <c r="AJ24" s="12">
        <f t="shared" si="7"/>
        <v>0.63702655672528696</v>
      </c>
      <c r="AK24" s="12">
        <f t="shared" si="7"/>
        <v>0.6369410243164999</v>
      </c>
      <c r="AL24" s="12">
        <f t="shared" si="7"/>
        <v>0.63678244203071432</v>
      </c>
      <c r="AM24" s="12">
        <f t="shared" si="7"/>
        <v>0.63655381828888036</v>
      </c>
      <c r="AN24" s="12">
        <f t="shared" si="7"/>
        <v>0.63625797904473236</v>
      </c>
      <c r="AO24" s="12">
        <f t="shared" si="7"/>
        <v>0.63589758194601964</v>
      </c>
      <c r="AP24" s="12">
        <f t="shared" si="7"/>
        <v>0.63547512920787408</v>
      </c>
      <c r="AQ24" s="12">
        <f t="shared" si="7"/>
        <v>0.63499297933274501</v>
      </c>
      <c r="AR24" s="12">
        <f t="shared" si="7"/>
        <v>0.63445335779551948</v>
      </c>
      <c r="AS24" s="12">
        <f t="shared" si="7"/>
        <v>0.63385836679871199</v>
      </c>
      <c r="AT24" s="12">
        <f t="shared" si="7"/>
        <v>0.63320999419061408</v>
      </c>
      <c r="AU24" s="12">
        <f t="shared" si="7"/>
        <v>0.63251012162884279</v>
      </c>
    </row>
    <row r="27" spans="1:47" x14ac:dyDescent="0.25">
      <c r="A27" s="16" t="s">
        <v>113</v>
      </c>
      <c r="B27" s="17"/>
      <c r="C27" s="17"/>
      <c r="D27" s="17"/>
      <c r="E27" s="17"/>
      <c r="F27" s="17"/>
      <c r="G27" s="17"/>
      <c r="H27" s="17"/>
      <c r="I27" s="17"/>
    </row>
    <row r="28" spans="1:47" x14ac:dyDescent="0.25">
      <c r="B28" s="12"/>
      <c r="C28" s="12"/>
      <c r="D28" s="12"/>
      <c r="E28" s="1"/>
      <c r="F28" s="1">
        <v>2020</v>
      </c>
      <c r="G28" s="1">
        <v>2030</v>
      </c>
      <c r="H28" s="1">
        <v>2040</v>
      </c>
      <c r="I28" s="1">
        <v>2050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47" x14ac:dyDescent="0.25">
      <c r="A29" s="1" t="s">
        <v>114</v>
      </c>
      <c r="B29" s="11">
        <v>53</v>
      </c>
      <c r="C29" s="12" t="s">
        <v>115</v>
      </c>
      <c r="D29" s="12"/>
      <c r="E29" s="12" t="s">
        <v>116</v>
      </c>
      <c r="F29" s="11">
        <v>2589.5652110000001</v>
      </c>
      <c r="G29" s="11">
        <v>3721.7576190538771</v>
      </c>
      <c r="H29" s="11">
        <v>4188.0027595155916</v>
      </c>
      <c r="I29" s="11">
        <v>4629.9439591746877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47" x14ac:dyDescent="0.25">
      <c r="A30" s="1" t="s">
        <v>117</v>
      </c>
      <c r="B30" s="2">
        <v>2590</v>
      </c>
      <c r="C30" t="s">
        <v>116</v>
      </c>
      <c r="E30" t="s">
        <v>118</v>
      </c>
      <c r="F30" s="11">
        <f>F29*$B$31</f>
        <v>2071.6521688000003</v>
      </c>
      <c r="G30" s="11">
        <f>G29*$B$31</f>
        <v>2977.4060952431018</v>
      </c>
      <c r="H30" s="11">
        <f>H29*$B$31</f>
        <v>3350.4022076124734</v>
      </c>
      <c r="I30" s="11">
        <f>I29*$B$31</f>
        <v>3703.9551673397505</v>
      </c>
    </row>
    <row r="31" spans="1:47" x14ac:dyDescent="0.25">
      <c r="A31" s="1" t="s">
        <v>119</v>
      </c>
      <c r="B31" s="2">
        <v>0.8</v>
      </c>
      <c r="E31" t="s">
        <v>120</v>
      </c>
      <c r="F31" s="21">
        <f>F30/$F30</f>
        <v>1</v>
      </c>
      <c r="G31" s="21">
        <f>G30/$F30</f>
        <v>1.437213321852074</v>
      </c>
      <c r="H31" s="21">
        <f>H30/$F30</f>
        <v>1.6172609755976488</v>
      </c>
      <c r="I31" s="21">
        <f>I30/$F30</f>
        <v>1.7879232928784845</v>
      </c>
    </row>
    <row r="32" spans="1:47" x14ac:dyDescent="0.25">
      <c r="A32" s="1" t="s">
        <v>121</v>
      </c>
      <c r="B32" s="14">
        <f>B30*B31*10^6*B29*10^-9</f>
        <v>109.816</v>
      </c>
      <c r="C32" t="s">
        <v>122</v>
      </c>
      <c r="E32" s="12" t="s">
        <v>123</v>
      </c>
      <c r="F32" s="13">
        <f>B23</f>
        <v>1</v>
      </c>
      <c r="G32" s="13">
        <f>L23</f>
        <v>1.2992202773779853</v>
      </c>
      <c r="H32" s="13">
        <f>V23</f>
        <v>1.6412021665423422</v>
      </c>
      <c r="I32" s="13">
        <f>AF23</f>
        <v>1.8543482336050894</v>
      </c>
    </row>
    <row r="33" spans="1:9" x14ac:dyDescent="0.25">
      <c r="A33" s="19" t="s">
        <v>124</v>
      </c>
      <c r="B33" s="20">
        <f>(B32-B22)/B32</f>
        <v>-3.3057894243878116E-2</v>
      </c>
      <c r="E33" t="s">
        <v>125</v>
      </c>
      <c r="F33" s="14">
        <f>B32</f>
        <v>109.816</v>
      </c>
      <c r="G33" s="14">
        <f>$F33*G32</f>
        <v>142.67517398054085</v>
      </c>
      <c r="H33" s="14">
        <f>$F33*H32</f>
        <v>180.23025712101386</v>
      </c>
      <c r="I33" s="14">
        <f>$F33*I32</f>
        <v>203.6371056215765</v>
      </c>
    </row>
    <row r="34" spans="1:9" x14ac:dyDescent="0.25">
      <c r="E34" t="s">
        <v>126</v>
      </c>
      <c r="F34" s="14">
        <f>F33*1000/F30</f>
        <v>53.008898720488716</v>
      </c>
      <c r="G34" s="14">
        <f>G33*1000/G30</f>
        <v>47.919285920885301</v>
      </c>
      <c r="H34" s="14">
        <f>H33*1000/H30</f>
        <v>53.793618184560458</v>
      </c>
      <c r="I34" s="14">
        <f>I33*1000/I30</f>
        <v>54.978285757122819</v>
      </c>
    </row>
    <row r="36" spans="1:9" x14ac:dyDescent="0.25">
      <c r="A36" t="s">
        <v>127</v>
      </c>
      <c r="B36" t="s">
        <v>128</v>
      </c>
      <c r="C36" t="s">
        <v>98</v>
      </c>
      <c r="F36" s="1">
        <v>2018</v>
      </c>
      <c r="G36" s="1">
        <v>2030</v>
      </c>
      <c r="H36" s="1">
        <v>2040</v>
      </c>
      <c r="I36" s="1">
        <v>2050</v>
      </c>
    </row>
    <row r="37" spans="1:9" x14ac:dyDescent="0.25">
      <c r="A37" t="s">
        <v>129</v>
      </c>
      <c r="B37">
        <v>80</v>
      </c>
      <c r="C37">
        <v>80</v>
      </c>
    </row>
    <row r="39" spans="1:9" x14ac:dyDescent="0.25">
      <c r="A39" t="s">
        <v>130</v>
      </c>
      <c r="B39">
        <v>66</v>
      </c>
      <c r="C39">
        <v>2022</v>
      </c>
      <c r="I39">
        <f>32*3.3</f>
        <v>105.6</v>
      </c>
    </row>
    <row r="40" spans="1:9" x14ac:dyDescent="0.25">
      <c r="I40">
        <f>129+105</f>
        <v>234</v>
      </c>
    </row>
    <row r="41" spans="1:9" x14ac:dyDescent="0.25">
      <c r="B41" s="18"/>
      <c r="I41">
        <f>I40/3.7</f>
        <v>63.243243243243242</v>
      </c>
    </row>
    <row r="45" spans="1:9" x14ac:dyDescent="0.25">
      <c r="F45">
        <v>1.82</v>
      </c>
    </row>
    <row r="46" spans="1:9" x14ac:dyDescent="0.25">
      <c r="F46">
        <f>4630/2590</f>
        <v>1.7876447876447876</v>
      </c>
    </row>
    <row r="47" spans="1:9" x14ac:dyDescent="0.25">
      <c r="F47">
        <f>1.82/1.7876</f>
        <v>1.018124860147684</v>
      </c>
    </row>
    <row r="48" spans="1:9" x14ac:dyDescent="0.25">
      <c r="F48">
        <f>54/53</f>
        <v>1.0188679245283019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48"/>
  <sheetViews>
    <sheetView workbookViewId="0"/>
  </sheetViews>
  <sheetFormatPr defaultRowHeight="15" x14ac:dyDescent="0.25"/>
  <cols>
    <col min="1" max="1" width="39.140625" customWidth="1"/>
    <col min="2" max="2" width="11.85546875" bestFit="1" customWidth="1"/>
  </cols>
  <sheetData>
    <row r="1" spans="1:47" x14ac:dyDescent="0.25">
      <c r="B1" s="2" t="s">
        <v>88</v>
      </c>
    </row>
    <row r="2" spans="1:47" x14ac:dyDescent="0.25">
      <c r="B2" s="3" t="s">
        <v>89</v>
      </c>
    </row>
    <row r="4" spans="1:47" x14ac:dyDescent="0.25">
      <c r="A4" s="16" t="s">
        <v>90</v>
      </c>
      <c r="B4" s="16"/>
      <c r="C4" s="16"/>
      <c r="D4" s="16"/>
      <c r="E4" s="16"/>
      <c r="F4" s="16"/>
      <c r="G4" s="16"/>
      <c r="H4" s="16"/>
      <c r="I4" s="16"/>
    </row>
    <row r="6" spans="1:47" x14ac:dyDescent="0.25">
      <c r="A6" t="s">
        <v>91</v>
      </c>
      <c r="B6" t="s">
        <v>92</v>
      </c>
    </row>
    <row r="8" spans="1:47" x14ac:dyDescent="0.25">
      <c r="A8" s="1" t="s">
        <v>93</v>
      </c>
      <c r="B8" s="6">
        <v>5.3999999999999999E-2</v>
      </c>
    </row>
    <row r="9" spans="1:47" x14ac:dyDescent="0.25">
      <c r="A9" s="1" t="s">
        <v>94</v>
      </c>
      <c r="B9" s="2">
        <v>42</v>
      </c>
      <c r="E9" t="s">
        <v>95</v>
      </c>
    </row>
    <row r="10" spans="1:47" x14ac:dyDescent="0.25">
      <c r="A10" s="1" t="s">
        <v>96</v>
      </c>
      <c r="B10" s="7">
        <f>1/B9</f>
        <v>2.3809523809523808E-2</v>
      </c>
      <c r="E10" t="s">
        <v>97</v>
      </c>
      <c r="F10" t="s">
        <v>98</v>
      </c>
      <c r="G10" t="s">
        <v>99</v>
      </c>
      <c r="H10" t="s">
        <v>100</v>
      </c>
    </row>
    <row r="11" spans="1:47" x14ac:dyDescent="0.25">
      <c r="A11" s="1" t="s">
        <v>101</v>
      </c>
      <c r="B11" s="10">
        <v>0.5</v>
      </c>
      <c r="E11">
        <v>40</v>
      </c>
      <c r="F11">
        <v>66</v>
      </c>
      <c r="G11">
        <v>80</v>
      </c>
      <c r="H11">
        <v>40</v>
      </c>
    </row>
    <row r="12" spans="1:47" x14ac:dyDescent="0.25">
      <c r="A12" s="1" t="s">
        <v>102</v>
      </c>
      <c r="B12" s="10">
        <v>0.01</v>
      </c>
    </row>
    <row r="13" spans="1:47" x14ac:dyDescent="0.25">
      <c r="A13" s="1" t="s">
        <v>103</v>
      </c>
      <c r="B13" s="2">
        <v>700</v>
      </c>
      <c r="C13" t="s">
        <v>104</v>
      </c>
    </row>
    <row r="15" spans="1:47" x14ac:dyDescent="0.25">
      <c r="A15" s="5" t="s">
        <v>104</v>
      </c>
      <c r="B15" s="5">
        <v>2020</v>
      </c>
      <c r="C15" s="5">
        <v>2021</v>
      </c>
      <c r="D15" s="5">
        <v>2022</v>
      </c>
      <c r="E15" s="5">
        <v>2023</v>
      </c>
      <c r="F15" s="5">
        <v>2024</v>
      </c>
      <c r="G15" s="5">
        <v>2025</v>
      </c>
      <c r="H15" s="5">
        <v>2026</v>
      </c>
      <c r="I15" s="5">
        <v>2027</v>
      </c>
      <c r="J15" s="5">
        <v>2028</v>
      </c>
      <c r="K15" s="5">
        <v>2029</v>
      </c>
      <c r="L15" s="5">
        <v>2030</v>
      </c>
      <c r="M15" s="5">
        <v>2031</v>
      </c>
      <c r="N15" s="5">
        <v>2032</v>
      </c>
      <c r="O15" s="5">
        <v>2033</v>
      </c>
      <c r="P15" s="5">
        <v>2034</v>
      </c>
      <c r="Q15" s="5">
        <v>2035</v>
      </c>
      <c r="R15" s="5">
        <v>2036</v>
      </c>
      <c r="S15" s="5">
        <v>2037</v>
      </c>
      <c r="T15" s="5">
        <v>2038</v>
      </c>
      <c r="U15" s="5">
        <v>2039</v>
      </c>
      <c r="V15" s="5">
        <v>2040</v>
      </c>
      <c r="W15" s="5">
        <v>2041</v>
      </c>
      <c r="X15" s="5">
        <v>2042</v>
      </c>
      <c r="Y15" s="5">
        <v>2043</v>
      </c>
      <c r="Z15" s="5">
        <v>2044</v>
      </c>
      <c r="AA15" s="5">
        <v>2045</v>
      </c>
      <c r="AB15" s="5">
        <v>2046</v>
      </c>
      <c r="AC15" s="5">
        <v>2047</v>
      </c>
      <c r="AD15" s="5">
        <v>2048</v>
      </c>
      <c r="AE15" s="5">
        <v>2049</v>
      </c>
      <c r="AF15" s="5">
        <v>2050</v>
      </c>
      <c r="AG15" s="5">
        <v>2051</v>
      </c>
      <c r="AH15" s="5">
        <v>2052</v>
      </c>
      <c r="AI15" s="5">
        <v>2053</v>
      </c>
      <c r="AJ15" s="5">
        <v>2054</v>
      </c>
      <c r="AK15" s="5">
        <v>2055</v>
      </c>
      <c r="AL15" s="5">
        <v>2056</v>
      </c>
      <c r="AM15" s="5">
        <v>2057</v>
      </c>
      <c r="AN15" s="5">
        <v>2058</v>
      </c>
      <c r="AO15" s="5">
        <v>2059</v>
      </c>
      <c r="AP15" s="5">
        <v>2060</v>
      </c>
      <c r="AQ15" s="5">
        <v>2061</v>
      </c>
      <c r="AR15" s="5">
        <v>2062</v>
      </c>
      <c r="AS15" s="5">
        <v>2063</v>
      </c>
      <c r="AT15" s="5">
        <v>2064</v>
      </c>
      <c r="AU15" s="5">
        <v>2065</v>
      </c>
    </row>
    <row r="16" spans="1:47" x14ac:dyDescent="0.25">
      <c r="A16" s="5" t="s">
        <v>105</v>
      </c>
      <c r="B16" s="3">
        <f>B13</f>
        <v>700</v>
      </c>
      <c r="C16" s="4">
        <f t="shared" ref="C16:AU16" si="0">B19</f>
        <v>712.33333333333337</v>
      </c>
      <c r="D16" s="4">
        <f t="shared" si="0"/>
        <v>727.3730158730159</v>
      </c>
      <c r="E16" s="4">
        <f t="shared" si="0"/>
        <v>745.05461073318224</v>
      </c>
      <c r="F16" s="4">
        <f t="shared" si="0"/>
        <v>763.31521523953506</v>
      </c>
      <c r="G16" s="4">
        <f t="shared" si="0"/>
        <v>785.14104344811756</v>
      </c>
      <c r="H16" s="4">
        <f t="shared" si="0"/>
        <v>826.44720908030524</v>
      </c>
      <c r="I16" s="4">
        <f t="shared" si="0"/>
        <v>878.76989457839318</v>
      </c>
      <c r="J16" s="4">
        <f t="shared" si="0"/>
        <v>929.84680185033619</v>
      </c>
      <c r="K16" s="4">
        <f t="shared" si="0"/>
        <v>979.70759228247107</v>
      </c>
      <c r="L16" s="4">
        <f t="shared" si="0"/>
        <v>1028.3812210376502</v>
      </c>
      <c r="M16" s="4">
        <f t="shared" si="0"/>
        <v>1075.8959538700872</v>
      </c>
      <c r="N16" s="4">
        <f t="shared" si="0"/>
        <v>1123.4106867025241</v>
      </c>
      <c r="O16" s="4">
        <f t="shared" si="0"/>
        <v>1170.9254195349611</v>
      </c>
      <c r="P16" s="4">
        <f t="shared" si="0"/>
        <v>1218.440152367398</v>
      </c>
      <c r="Q16" s="4">
        <f t="shared" si="0"/>
        <v>1265.954885199835</v>
      </c>
      <c r="R16" s="4">
        <f t="shared" si="0"/>
        <v>1313.4696180322719</v>
      </c>
      <c r="S16" s="4">
        <f t="shared" si="0"/>
        <v>1360.9843508647089</v>
      </c>
      <c r="T16" s="4">
        <f t="shared" si="0"/>
        <v>1408.4990836971458</v>
      </c>
      <c r="U16" s="4">
        <f t="shared" si="0"/>
        <v>1456.0138165295828</v>
      </c>
      <c r="V16" s="4">
        <f t="shared" si="0"/>
        <v>1503.5285493620197</v>
      </c>
      <c r="W16" s="4">
        <f t="shared" si="0"/>
        <v>1551.0432821944567</v>
      </c>
      <c r="X16" s="4">
        <f t="shared" si="0"/>
        <v>1586.5580150268936</v>
      </c>
      <c r="Y16" s="4">
        <f t="shared" si="0"/>
        <v>1622.0727478593305</v>
      </c>
      <c r="Z16" s="4">
        <f t="shared" si="0"/>
        <v>1657.5874806917675</v>
      </c>
      <c r="AA16" s="4">
        <f t="shared" si="0"/>
        <v>1693.1022135242044</v>
      </c>
      <c r="AB16" s="4">
        <f t="shared" si="0"/>
        <v>1728.6169463566414</v>
      </c>
      <c r="AC16" s="4">
        <f t="shared" si="0"/>
        <v>1764.1316791890783</v>
      </c>
      <c r="AD16" s="4">
        <f t="shared" si="0"/>
        <v>1799.6464120215153</v>
      </c>
      <c r="AE16" s="4">
        <f t="shared" si="0"/>
        <v>1835.1611448539522</v>
      </c>
      <c r="AF16" s="4">
        <f t="shared" si="0"/>
        <v>1870.6758776863892</v>
      </c>
      <c r="AG16" s="4">
        <f t="shared" si="0"/>
        <v>1906.1906105188261</v>
      </c>
      <c r="AH16" s="4">
        <f t="shared" si="0"/>
        <v>1941.7053433512631</v>
      </c>
      <c r="AI16" s="4">
        <f t="shared" si="0"/>
        <v>1977.2200761837</v>
      </c>
      <c r="AJ16" s="4">
        <f t="shared" si="0"/>
        <v>2012.734809016137</v>
      </c>
      <c r="AK16" s="4">
        <f t="shared" si="0"/>
        <v>2048.2495418485737</v>
      </c>
      <c r="AL16" s="4">
        <f t="shared" si="0"/>
        <v>2083.7642746810106</v>
      </c>
      <c r="AM16" s="4">
        <f t="shared" si="0"/>
        <v>2119.2790075134476</v>
      </c>
      <c r="AN16" s="4">
        <f t="shared" si="0"/>
        <v>2154.7937403458845</v>
      </c>
      <c r="AO16" s="4">
        <f t="shared" si="0"/>
        <v>2190.3084731783215</v>
      </c>
      <c r="AP16" s="4">
        <f t="shared" si="0"/>
        <v>2225.8232060107584</v>
      </c>
      <c r="AQ16" s="4">
        <f t="shared" si="0"/>
        <v>2261.3379388431954</v>
      </c>
      <c r="AR16" s="4">
        <f t="shared" si="0"/>
        <v>2296.8526716756323</v>
      </c>
      <c r="AS16" s="4">
        <f t="shared" si="0"/>
        <v>2332.3674045080693</v>
      </c>
      <c r="AT16" s="4">
        <f t="shared" si="0"/>
        <v>2367.8821373405062</v>
      </c>
      <c r="AU16" s="4">
        <f t="shared" si="0"/>
        <v>2403.3968701729432</v>
      </c>
    </row>
    <row r="17" spans="1:47" x14ac:dyDescent="0.25">
      <c r="A17" s="5" t="s">
        <v>106</v>
      </c>
      <c r="B17" s="2">
        <v>29</v>
      </c>
      <c r="C17" s="2">
        <v>32</v>
      </c>
      <c r="D17" s="2">
        <v>35</v>
      </c>
      <c r="E17" s="2">
        <v>36</v>
      </c>
      <c r="F17" s="2">
        <v>40</v>
      </c>
      <c r="G17" s="2">
        <v>60</v>
      </c>
      <c r="H17" s="2">
        <v>72</v>
      </c>
      <c r="I17" s="2">
        <v>72</v>
      </c>
      <c r="J17" s="2">
        <v>72</v>
      </c>
      <c r="K17" s="2">
        <v>72</v>
      </c>
      <c r="L17" s="2">
        <v>72</v>
      </c>
      <c r="M17" s="2">
        <v>72</v>
      </c>
      <c r="N17" s="2">
        <v>72</v>
      </c>
      <c r="O17" s="2">
        <v>72</v>
      </c>
      <c r="P17" s="2">
        <v>72</v>
      </c>
      <c r="Q17" s="2">
        <v>72</v>
      </c>
      <c r="R17" s="2">
        <v>72</v>
      </c>
      <c r="S17" s="2">
        <v>72</v>
      </c>
      <c r="T17" s="2">
        <v>72</v>
      </c>
      <c r="U17" s="2">
        <v>72</v>
      </c>
      <c r="V17" s="2">
        <v>72</v>
      </c>
      <c r="W17" s="2">
        <v>60</v>
      </c>
      <c r="X17" s="2">
        <v>60</v>
      </c>
      <c r="Y17" s="2">
        <v>60</v>
      </c>
      <c r="Z17" s="2">
        <v>60</v>
      </c>
      <c r="AA17" s="2">
        <v>60</v>
      </c>
      <c r="AB17" s="2">
        <v>60</v>
      </c>
      <c r="AC17" s="2">
        <v>60</v>
      </c>
      <c r="AD17" s="2">
        <v>60</v>
      </c>
      <c r="AE17" s="2">
        <v>60</v>
      </c>
      <c r="AF17" s="2">
        <v>60</v>
      </c>
      <c r="AG17" s="2">
        <v>60</v>
      </c>
      <c r="AH17" s="2">
        <v>60</v>
      </c>
      <c r="AI17" s="2">
        <v>60</v>
      </c>
      <c r="AJ17" s="2">
        <v>60</v>
      </c>
      <c r="AK17" s="2">
        <v>60</v>
      </c>
      <c r="AL17" s="2">
        <v>60</v>
      </c>
      <c r="AM17" s="2">
        <v>60</v>
      </c>
      <c r="AN17" s="2">
        <v>60</v>
      </c>
      <c r="AO17" s="2">
        <v>60</v>
      </c>
      <c r="AP17" s="2">
        <v>60</v>
      </c>
      <c r="AQ17" s="2">
        <v>60</v>
      </c>
      <c r="AR17" s="2">
        <v>60</v>
      </c>
      <c r="AS17" s="2">
        <v>60</v>
      </c>
      <c r="AT17" s="2">
        <v>60</v>
      </c>
      <c r="AU17" s="2">
        <v>60</v>
      </c>
    </row>
    <row r="18" spans="1:47" x14ac:dyDescent="0.25">
      <c r="A18" s="5" t="s">
        <v>107</v>
      </c>
      <c r="B18" s="4">
        <f t="shared" ref="B18:L18" si="1">(B16*$B10)</f>
        <v>16.666666666666664</v>
      </c>
      <c r="C18" s="4">
        <f t="shared" si="1"/>
        <v>16.960317460317459</v>
      </c>
      <c r="D18" s="4">
        <f t="shared" si="1"/>
        <v>17.318405139833711</v>
      </c>
      <c r="E18" s="4">
        <f t="shared" si="1"/>
        <v>17.739395493647194</v>
      </c>
      <c r="F18" s="4">
        <f t="shared" si="1"/>
        <v>18.1741717914175</v>
      </c>
      <c r="G18" s="4">
        <f t="shared" si="1"/>
        <v>18.693834367812322</v>
      </c>
      <c r="H18" s="4">
        <f t="shared" si="1"/>
        <v>19.677314501912029</v>
      </c>
      <c r="I18" s="4">
        <f t="shared" si="1"/>
        <v>20.923092728056979</v>
      </c>
      <c r="J18" s="4">
        <f t="shared" si="1"/>
        <v>22.139209567865148</v>
      </c>
      <c r="K18" s="4">
        <f t="shared" si="1"/>
        <v>23.326371244820738</v>
      </c>
      <c r="L18" s="4">
        <f t="shared" si="1"/>
        <v>24.485267167563098</v>
      </c>
      <c r="M18" s="15">
        <f t="shared" ref="M18:AU18" si="2">L18</f>
        <v>24.485267167563098</v>
      </c>
      <c r="N18" s="15">
        <f t="shared" si="2"/>
        <v>24.485267167563098</v>
      </c>
      <c r="O18" s="15">
        <f t="shared" si="2"/>
        <v>24.485267167563098</v>
      </c>
      <c r="P18" s="15">
        <f t="shared" si="2"/>
        <v>24.485267167563098</v>
      </c>
      <c r="Q18" s="15">
        <f t="shared" si="2"/>
        <v>24.485267167563098</v>
      </c>
      <c r="R18" s="15">
        <f t="shared" si="2"/>
        <v>24.485267167563098</v>
      </c>
      <c r="S18" s="15">
        <f t="shared" si="2"/>
        <v>24.485267167563098</v>
      </c>
      <c r="T18" s="15">
        <f t="shared" si="2"/>
        <v>24.485267167563098</v>
      </c>
      <c r="U18" s="15">
        <f t="shared" si="2"/>
        <v>24.485267167563098</v>
      </c>
      <c r="V18" s="15">
        <f t="shared" si="2"/>
        <v>24.485267167563098</v>
      </c>
      <c r="W18" s="15">
        <f t="shared" si="2"/>
        <v>24.485267167563098</v>
      </c>
      <c r="X18" s="15">
        <f t="shared" si="2"/>
        <v>24.485267167563098</v>
      </c>
      <c r="Y18" s="15">
        <f t="shared" si="2"/>
        <v>24.485267167563098</v>
      </c>
      <c r="Z18" s="15">
        <f t="shared" si="2"/>
        <v>24.485267167563098</v>
      </c>
      <c r="AA18" s="15">
        <f t="shared" si="2"/>
        <v>24.485267167563098</v>
      </c>
      <c r="AB18" s="15">
        <f t="shared" si="2"/>
        <v>24.485267167563098</v>
      </c>
      <c r="AC18" s="15">
        <f t="shared" si="2"/>
        <v>24.485267167563098</v>
      </c>
      <c r="AD18" s="15">
        <f t="shared" si="2"/>
        <v>24.485267167563098</v>
      </c>
      <c r="AE18" s="15">
        <f t="shared" si="2"/>
        <v>24.485267167563098</v>
      </c>
      <c r="AF18" s="15">
        <f t="shared" si="2"/>
        <v>24.485267167563098</v>
      </c>
      <c r="AG18" s="15">
        <f t="shared" si="2"/>
        <v>24.485267167563098</v>
      </c>
      <c r="AH18" s="15">
        <f t="shared" si="2"/>
        <v>24.485267167563098</v>
      </c>
      <c r="AI18" s="15">
        <f t="shared" si="2"/>
        <v>24.485267167563098</v>
      </c>
      <c r="AJ18" s="15">
        <f t="shared" si="2"/>
        <v>24.485267167563098</v>
      </c>
      <c r="AK18" s="15">
        <f t="shared" si="2"/>
        <v>24.485267167563098</v>
      </c>
      <c r="AL18" s="15">
        <f t="shared" si="2"/>
        <v>24.485267167563098</v>
      </c>
      <c r="AM18" s="15">
        <f t="shared" si="2"/>
        <v>24.485267167563098</v>
      </c>
      <c r="AN18" s="15">
        <f t="shared" si="2"/>
        <v>24.485267167563098</v>
      </c>
      <c r="AO18" s="15">
        <f t="shared" si="2"/>
        <v>24.485267167563098</v>
      </c>
      <c r="AP18" s="15">
        <f t="shared" si="2"/>
        <v>24.485267167563098</v>
      </c>
      <c r="AQ18" s="15">
        <f t="shared" si="2"/>
        <v>24.485267167563098</v>
      </c>
      <c r="AR18" s="15">
        <f t="shared" si="2"/>
        <v>24.485267167563098</v>
      </c>
      <c r="AS18" s="15">
        <f t="shared" si="2"/>
        <v>24.485267167563098</v>
      </c>
      <c r="AT18" s="15">
        <f t="shared" si="2"/>
        <v>24.485267167563098</v>
      </c>
      <c r="AU18" s="15">
        <f t="shared" si="2"/>
        <v>24.485267167563098</v>
      </c>
    </row>
    <row r="19" spans="1:47" x14ac:dyDescent="0.25">
      <c r="A19" s="5" t="s">
        <v>108</v>
      </c>
      <c r="B19" s="4">
        <f t="shared" ref="B19:AU19" si="3">B16+B17-B18</f>
        <v>712.33333333333337</v>
      </c>
      <c r="C19" s="4">
        <f t="shared" si="3"/>
        <v>727.3730158730159</v>
      </c>
      <c r="D19" s="4">
        <f t="shared" si="3"/>
        <v>745.05461073318224</v>
      </c>
      <c r="E19" s="4">
        <f t="shared" si="3"/>
        <v>763.31521523953506</v>
      </c>
      <c r="F19" s="4">
        <f t="shared" si="3"/>
        <v>785.14104344811756</v>
      </c>
      <c r="G19" s="4">
        <f t="shared" si="3"/>
        <v>826.44720908030524</v>
      </c>
      <c r="H19" s="4">
        <f t="shared" si="3"/>
        <v>878.76989457839318</v>
      </c>
      <c r="I19" s="4">
        <f t="shared" si="3"/>
        <v>929.84680185033619</v>
      </c>
      <c r="J19" s="4">
        <f t="shared" si="3"/>
        <v>979.70759228247107</v>
      </c>
      <c r="K19" s="4">
        <f t="shared" si="3"/>
        <v>1028.3812210376502</v>
      </c>
      <c r="L19" s="4">
        <f t="shared" si="3"/>
        <v>1075.8959538700872</v>
      </c>
      <c r="M19" s="4">
        <f t="shared" si="3"/>
        <v>1123.4106867025241</v>
      </c>
      <c r="N19" s="4">
        <f t="shared" si="3"/>
        <v>1170.9254195349611</v>
      </c>
      <c r="O19" s="4">
        <f t="shared" si="3"/>
        <v>1218.440152367398</v>
      </c>
      <c r="P19" s="4">
        <f t="shared" si="3"/>
        <v>1265.954885199835</v>
      </c>
      <c r="Q19" s="4">
        <f t="shared" si="3"/>
        <v>1313.4696180322719</v>
      </c>
      <c r="R19" s="4">
        <f t="shared" si="3"/>
        <v>1360.9843508647089</v>
      </c>
      <c r="S19" s="4">
        <f t="shared" si="3"/>
        <v>1408.4990836971458</v>
      </c>
      <c r="T19" s="4">
        <f t="shared" si="3"/>
        <v>1456.0138165295828</v>
      </c>
      <c r="U19" s="4">
        <f t="shared" si="3"/>
        <v>1503.5285493620197</v>
      </c>
      <c r="V19" s="4">
        <f t="shared" si="3"/>
        <v>1551.0432821944567</v>
      </c>
      <c r="W19" s="4">
        <f t="shared" si="3"/>
        <v>1586.5580150268936</v>
      </c>
      <c r="X19" s="4">
        <f t="shared" si="3"/>
        <v>1622.0727478593305</v>
      </c>
      <c r="Y19" s="4">
        <f t="shared" si="3"/>
        <v>1657.5874806917675</v>
      </c>
      <c r="Z19" s="4">
        <f t="shared" si="3"/>
        <v>1693.1022135242044</v>
      </c>
      <c r="AA19" s="4">
        <f t="shared" si="3"/>
        <v>1728.6169463566414</v>
      </c>
      <c r="AB19" s="4">
        <f t="shared" si="3"/>
        <v>1764.1316791890783</v>
      </c>
      <c r="AC19" s="4">
        <f t="shared" si="3"/>
        <v>1799.6464120215153</v>
      </c>
      <c r="AD19" s="4">
        <f t="shared" si="3"/>
        <v>1835.1611448539522</v>
      </c>
      <c r="AE19" s="4">
        <f t="shared" si="3"/>
        <v>1870.6758776863892</v>
      </c>
      <c r="AF19" s="4">
        <f t="shared" si="3"/>
        <v>1906.1906105188261</v>
      </c>
      <c r="AG19" s="4">
        <f t="shared" si="3"/>
        <v>1941.7053433512631</v>
      </c>
      <c r="AH19" s="4">
        <f t="shared" si="3"/>
        <v>1977.2200761837</v>
      </c>
      <c r="AI19" s="4">
        <f t="shared" si="3"/>
        <v>2012.734809016137</v>
      </c>
      <c r="AJ19" s="4">
        <f t="shared" si="3"/>
        <v>2048.2495418485737</v>
      </c>
      <c r="AK19" s="4">
        <f t="shared" si="3"/>
        <v>2083.7642746810106</v>
      </c>
      <c r="AL19" s="4">
        <f t="shared" si="3"/>
        <v>2119.2790075134476</v>
      </c>
      <c r="AM19" s="4">
        <f t="shared" si="3"/>
        <v>2154.7937403458845</v>
      </c>
      <c r="AN19" s="4">
        <f t="shared" si="3"/>
        <v>2190.3084731783215</v>
      </c>
      <c r="AO19" s="4">
        <f t="shared" si="3"/>
        <v>2225.8232060107584</v>
      </c>
      <c r="AP19" s="4">
        <f t="shared" si="3"/>
        <v>2261.3379388431954</v>
      </c>
      <c r="AQ19" s="4">
        <f t="shared" si="3"/>
        <v>2296.8526716756323</v>
      </c>
      <c r="AR19" s="4">
        <f t="shared" si="3"/>
        <v>2332.3674045080693</v>
      </c>
      <c r="AS19" s="4">
        <f t="shared" si="3"/>
        <v>2367.8821373405062</v>
      </c>
      <c r="AT19" s="4">
        <f t="shared" si="3"/>
        <v>2403.3968701729432</v>
      </c>
      <c r="AU19" s="4">
        <f t="shared" si="3"/>
        <v>2438.9116030053801</v>
      </c>
    </row>
    <row r="20" spans="1:47" x14ac:dyDescent="0.25">
      <c r="A20" s="5" t="s">
        <v>109</v>
      </c>
      <c r="B20" s="4">
        <f t="shared" ref="B20:AU20" si="4">(B16+B17)*$B8+B18</f>
        <v>56.032666666666664</v>
      </c>
      <c r="C20" s="4">
        <f t="shared" si="4"/>
        <v>57.154317460317458</v>
      </c>
      <c r="D20" s="4">
        <f t="shared" si="4"/>
        <v>58.486547996976569</v>
      </c>
      <c r="E20" s="4">
        <f t="shared" si="4"/>
        <v>59.916344473239036</v>
      </c>
      <c r="F20" s="4">
        <f t="shared" si="4"/>
        <v>61.553193414352393</v>
      </c>
      <c r="G20" s="4">
        <f t="shared" si="4"/>
        <v>64.331450714010671</v>
      </c>
      <c r="H20" s="4">
        <f t="shared" si="4"/>
        <v>68.193463792248508</v>
      </c>
      <c r="I20" s="4">
        <f t="shared" si="4"/>
        <v>72.264667035290216</v>
      </c>
      <c r="J20" s="4">
        <f t="shared" si="4"/>
        <v>76.238936867783295</v>
      </c>
      <c r="K20" s="4">
        <f t="shared" si="4"/>
        <v>80.118581228074177</v>
      </c>
      <c r="L20" s="4">
        <f t="shared" si="4"/>
        <v>83.905853103596215</v>
      </c>
      <c r="M20" s="4">
        <f t="shared" si="4"/>
        <v>86.471648676547801</v>
      </c>
      <c r="N20" s="4">
        <f t="shared" si="4"/>
        <v>89.037444249499401</v>
      </c>
      <c r="O20" s="4">
        <f t="shared" si="4"/>
        <v>91.603239822450988</v>
      </c>
      <c r="P20" s="4">
        <f t="shared" si="4"/>
        <v>94.169035395402588</v>
      </c>
      <c r="Q20" s="4">
        <f t="shared" si="4"/>
        <v>96.734830968354188</v>
      </c>
      <c r="R20" s="4">
        <f t="shared" si="4"/>
        <v>99.300626541305775</v>
      </c>
      <c r="S20" s="4">
        <f t="shared" si="4"/>
        <v>101.86642211425738</v>
      </c>
      <c r="T20" s="4">
        <f t="shared" si="4"/>
        <v>104.43221768720896</v>
      </c>
      <c r="U20" s="4">
        <f t="shared" si="4"/>
        <v>106.99801326016056</v>
      </c>
      <c r="V20" s="4">
        <f t="shared" si="4"/>
        <v>109.56380883311216</v>
      </c>
      <c r="W20" s="4">
        <f t="shared" si="4"/>
        <v>111.48160440606375</v>
      </c>
      <c r="X20" s="4">
        <f t="shared" si="4"/>
        <v>113.39939997901534</v>
      </c>
      <c r="Y20" s="4">
        <f t="shared" si="4"/>
        <v>115.31719555196695</v>
      </c>
      <c r="Z20" s="4">
        <f t="shared" si="4"/>
        <v>117.23499112491854</v>
      </c>
      <c r="AA20" s="4">
        <f t="shared" si="4"/>
        <v>119.15278669787013</v>
      </c>
      <c r="AB20" s="4">
        <f t="shared" si="4"/>
        <v>121.07058227082173</v>
      </c>
      <c r="AC20" s="4">
        <f t="shared" si="4"/>
        <v>122.98837784377332</v>
      </c>
      <c r="AD20" s="4">
        <f t="shared" si="4"/>
        <v>124.90617341672493</v>
      </c>
      <c r="AE20" s="4">
        <f t="shared" si="4"/>
        <v>126.82396898967652</v>
      </c>
      <c r="AF20" s="4">
        <f t="shared" si="4"/>
        <v>128.74176456262811</v>
      </c>
      <c r="AG20" s="4">
        <f t="shared" si="4"/>
        <v>130.65956013557971</v>
      </c>
      <c r="AH20" s="4">
        <f t="shared" si="4"/>
        <v>132.57735570853131</v>
      </c>
      <c r="AI20" s="4">
        <f t="shared" si="4"/>
        <v>134.49515128148289</v>
      </c>
      <c r="AJ20" s="4">
        <f t="shared" si="4"/>
        <v>136.41294685443449</v>
      </c>
      <c r="AK20" s="4">
        <f t="shared" si="4"/>
        <v>138.33074242738607</v>
      </c>
      <c r="AL20" s="4">
        <f t="shared" si="4"/>
        <v>140.24853800033767</v>
      </c>
      <c r="AM20" s="4">
        <f t="shared" si="4"/>
        <v>142.16633357328928</v>
      </c>
      <c r="AN20" s="4">
        <f t="shared" si="4"/>
        <v>144.08412914624085</v>
      </c>
      <c r="AO20" s="4">
        <f t="shared" si="4"/>
        <v>146.00192471919246</v>
      </c>
      <c r="AP20" s="4">
        <f t="shared" si="4"/>
        <v>147.91972029214406</v>
      </c>
      <c r="AQ20" s="4">
        <f t="shared" si="4"/>
        <v>149.83751586509564</v>
      </c>
      <c r="AR20" s="4">
        <f t="shared" si="4"/>
        <v>151.75531143804724</v>
      </c>
      <c r="AS20" s="4">
        <f t="shared" si="4"/>
        <v>153.67310701099885</v>
      </c>
      <c r="AT20" s="4">
        <f t="shared" si="4"/>
        <v>155.59090258395045</v>
      </c>
      <c r="AU20" s="4">
        <f t="shared" si="4"/>
        <v>157.50869815690203</v>
      </c>
    </row>
    <row r="21" spans="1:47" x14ac:dyDescent="0.25">
      <c r="A21" s="5" t="s">
        <v>110</v>
      </c>
      <c r="B21" s="11">
        <f>B20*(1/B11-1)</f>
        <v>56.032666666666664</v>
      </c>
      <c r="C21" s="4">
        <f t="shared" ref="C21:AU21" si="5">$B21*(1+$B$12)^(C15-$B15)</f>
        <v>56.592993333333332</v>
      </c>
      <c r="D21" s="4">
        <f t="shared" si="5"/>
        <v>57.158923266666662</v>
      </c>
      <c r="E21" s="4">
        <f t="shared" si="5"/>
        <v>57.730512499333322</v>
      </c>
      <c r="F21" s="4">
        <f t="shared" si="5"/>
        <v>58.307817624326667</v>
      </c>
      <c r="G21" s="4">
        <f t="shared" si="5"/>
        <v>58.890895800569929</v>
      </c>
      <c r="H21" s="4">
        <f t="shared" si="5"/>
        <v>59.479804758575639</v>
      </c>
      <c r="I21" s="4">
        <f t="shared" si="5"/>
        <v>60.07460280616138</v>
      </c>
      <c r="J21" s="4">
        <f t="shared" si="5"/>
        <v>60.675348834223009</v>
      </c>
      <c r="K21" s="4">
        <f t="shared" si="5"/>
        <v>61.282102322565244</v>
      </c>
      <c r="L21" s="4">
        <f t="shared" si="5"/>
        <v>61.894923345790893</v>
      </c>
      <c r="M21" s="4">
        <f t="shared" si="5"/>
        <v>62.51387257924879</v>
      </c>
      <c r="N21" s="4">
        <f t="shared" si="5"/>
        <v>63.139011305041279</v>
      </c>
      <c r="O21" s="4">
        <f t="shared" si="5"/>
        <v>63.770401418091694</v>
      </c>
      <c r="P21" s="4">
        <f t="shared" si="5"/>
        <v>64.40810543227262</v>
      </c>
      <c r="Q21" s="4">
        <f t="shared" si="5"/>
        <v>65.052186486595332</v>
      </c>
      <c r="R21" s="4">
        <f t="shared" si="5"/>
        <v>65.702708351461297</v>
      </c>
      <c r="S21" s="4">
        <f t="shared" si="5"/>
        <v>66.359735434975917</v>
      </c>
      <c r="T21" s="4">
        <f t="shared" si="5"/>
        <v>67.023332789325679</v>
      </c>
      <c r="U21" s="4">
        <f t="shared" si="5"/>
        <v>67.693566117218921</v>
      </c>
      <c r="V21" s="4">
        <f t="shared" si="5"/>
        <v>68.370501778391116</v>
      </c>
      <c r="W21" s="4">
        <f t="shared" si="5"/>
        <v>69.054206796175023</v>
      </c>
      <c r="X21" s="4">
        <f t="shared" si="5"/>
        <v>69.744748864136795</v>
      </c>
      <c r="Y21" s="4">
        <f t="shared" si="5"/>
        <v>70.44219635277814</v>
      </c>
      <c r="Z21" s="4">
        <f t="shared" si="5"/>
        <v>71.146618316305947</v>
      </c>
      <c r="AA21" s="4">
        <f t="shared" si="5"/>
        <v>71.858084499469015</v>
      </c>
      <c r="AB21" s="4">
        <f t="shared" si="5"/>
        <v>72.576665344463706</v>
      </c>
      <c r="AC21" s="4">
        <f t="shared" si="5"/>
        <v>73.302431997908315</v>
      </c>
      <c r="AD21" s="4">
        <f t="shared" si="5"/>
        <v>74.035456317887395</v>
      </c>
      <c r="AE21" s="4">
        <f t="shared" si="5"/>
        <v>74.775810881066278</v>
      </c>
      <c r="AF21" s="4">
        <f t="shared" si="5"/>
        <v>75.523568989876964</v>
      </c>
      <c r="AG21" s="4">
        <f t="shared" si="5"/>
        <v>76.278804679775703</v>
      </c>
      <c r="AH21" s="4">
        <f t="shared" si="5"/>
        <v>77.041592726573484</v>
      </c>
      <c r="AI21" s="4">
        <f t="shared" si="5"/>
        <v>77.812008653839214</v>
      </c>
      <c r="AJ21" s="4">
        <f t="shared" si="5"/>
        <v>78.590128740377608</v>
      </c>
      <c r="AK21" s="4">
        <f t="shared" si="5"/>
        <v>79.376030027781368</v>
      </c>
      <c r="AL21" s="4">
        <f t="shared" si="5"/>
        <v>80.169790328059193</v>
      </c>
      <c r="AM21" s="4">
        <f t="shared" si="5"/>
        <v>80.971488231339791</v>
      </c>
      <c r="AN21" s="4">
        <f t="shared" si="5"/>
        <v>81.781203113653191</v>
      </c>
      <c r="AO21" s="4">
        <f t="shared" si="5"/>
        <v>82.599015144789703</v>
      </c>
      <c r="AP21" s="4">
        <f t="shared" si="5"/>
        <v>83.425005296237615</v>
      </c>
      <c r="AQ21" s="4">
        <f t="shared" si="5"/>
        <v>84.259255349200004</v>
      </c>
      <c r="AR21" s="4">
        <f t="shared" si="5"/>
        <v>85.101847902692015</v>
      </c>
      <c r="AS21" s="4">
        <f t="shared" si="5"/>
        <v>85.952866381718906</v>
      </c>
      <c r="AT21" s="4">
        <f t="shared" si="5"/>
        <v>86.812395045536107</v>
      </c>
      <c r="AU21" s="4">
        <f t="shared" si="5"/>
        <v>87.680518995991463</v>
      </c>
    </row>
    <row r="22" spans="1:47" x14ac:dyDescent="0.25">
      <c r="A22" s="5" t="s">
        <v>111</v>
      </c>
      <c r="B22" s="4">
        <f t="shared" ref="B22:AU22" si="6">B20+B21</f>
        <v>112.06533333333333</v>
      </c>
      <c r="C22" s="4">
        <f t="shared" si="6"/>
        <v>113.7473107936508</v>
      </c>
      <c r="D22" s="4">
        <f t="shared" si="6"/>
        <v>115.64547126364323</v>
      </c>
      <c r="E22" s="4">
        <f t="shared" si="6"/>
        <v>117.64685697257235</v>
      </c>
      <c r="F22" s="4">
        <f t="shared" si="6"/>
        <v>119.86101103867907</v>
      </c>
      <c r="G22" s="4">
        <f t="shared" si="6"/>
        <v>123.22234651458061</v>
      </c>
      <c r="H22" s="4">
        <f t="shared" si="6"/>
        <v>127.67326855082415</v>
      </c>
      <c r="I22" s="4">
        <f t="shared" si="6"/>
        <v>132.3392698414516</v>
      </c>
      <c r="J22" s="4">
        <f t="shared" si="6"/>
        <v>136.91428570200631</v>
      </c>
      <c r="K22" s="4">
        <f t="shared" si="6"/>
        <v>141.40068355063943</v>
      </c>
      <c r="L22" s="4">
        <f t="shared" si="6"/>
        <v>145.80077644938712</v>
      </c>
      <c r="M22" s="4">
        <f t="shared" si="6"/>
        <v>148.98552125579658</v>
      </c>
      <c r="N22" s="4">
        <f t="shared" si="6"/>
        <v>152.17645555454067</v>
      </c>
      <c r="O22" s="4">
        <f t="shared" si="6"/>
        <v>155.37364124054267</v>
      </c>
      <c r="P22" s="4">
        <f t="shared" si="6"/>
        <v>158.57714082767521</v>
      </c>
      <c r="Q22" s="4">
        <f t="shared" si="6"/>
        <v>161.78701745494953</v>
      </c>
      <c r="R22" s="4">
        <f t="shared" si="6"/>
        <v>165.00333489276707</v>
      </c>
      <c r="S22" s="4">
        <f t="shared" si="6"/>
        <v>168.22615754923328</v>
      </c>
      <c r="T22" s="4">
        <f t="shared" si="6"/>
        <v>171.45555047653465</v>
      </c>
      <c r="U22" s="4">
        <f t="shared" si="6"/>
        <v>174.69157937737947</v>
      </c>
      <c r="V22" s="4">
        <f t="shared" si="6"/>
        <v>177.93431061150329</v>
      </c>
      <c r="W22" s="4">
        <f t="shared" si="6"/>
        <v>180.53581120223879</v>
      </c>
      <c r="X22" s="4">
        <f t="shared" si="6"/>
        <v>183.14414884315215</v>
      </c>
      <c r="Y22" s="4">
        <f t="shared" si="6"/>
        <v>185.75939190474509</v>
      </c>
      <c r="Z22" s="4">
        <f t="shared" si="6"/>
        <v>188.3816094412245</v>
      </c>
      <c r="AA22" s="4">
        <f t="shared" si="6"/>
        <v>191.01087119733916</v>
      </c>
      <c r="AB22" s="4">
        <f t="shared" si="6"/>
        <v>193.64724761528544</v>
      </c>
      <c r="AC22" s="4">
        <f t="shared" si="6"/>
        <v>196.29080984168164</v>
      </c>
      <c r="AD22" s="4">
        <f t="shared" si="6"/>
        <v>198.94162973461232</v>
      </c>
      <c r="AE22" s="4">
        <f t="shared" si="6"/>
        <v>201.59977987074279</v>
      </c>
      <c r="AF22" s="4">
        <f t="shared" si="6"/>
        <v>204.26533355250507</v>
      </c>
      <c r="AG22" s="4">
        <f t="shared" si="6"/>
        <v>206.93836481535541</v>
      </c>
      <c r="AH22" s="4">
        <f t="shared" si="6"/>
        <v>209.61894843510481</v>
      </c>
      <c r="AI22" s="4">
        <f t="shared" si="6"/>
        <v>212.30715993532209</v>
      </c>
      <c r="AJ22" s="4">
        <f t="shared" si="6"/>
        <v>215.00307559481212</v>
      </c>
      <c r="AK22" s="4">
        <f t="shared" si="6"/>
        <v>217.70677245516742</v>
      </c>
      <c r="AL22" s="4">
        <f t="shared" si="6"/>
        <v>220.41832832839685</v>
      </c>
      <c r="AM22" s="4">
        <f t="shared" si="6"/>
        <v>223.13782180462908</v>
      </c>
      <c r="AN22" s="4">
        <f t="shared" si="6"/>
        <v>225.86533225989405</v>
      </c>
      <c r="AO22" s="4">
        <f t="shared" si="6"/>
        <v>228.60093986398215</v>
      </c>
      <c r="AP22" s="4">
        <f t="shared" si="6"/>
        <v>231.34472558838166</v>
      </c>
      <c r="AQ22" s="4">
        <f t="shared" si="6"/>
        <v>234.09677121429564</v>
      </c>
      <c r="AR22" s="4">
        <f t="shared" si="6"/>
        <v>236.85715934073926</v>
      </c>
      <c r="AS22" s="4">
        <f t="shared" si="6"/>
        <v>239.62597339271775</v>
      </c>
      <c r="AT22" s="4">
        <f t="shared" si="6"/>
        <v>242.40329762948656</v>
      </c>
      <c r="AU22" s="4">
        <f t="shared" si="6"/>
        <v>245.18921715289349</v>
      </c>
    </row>
    <row r="23" spans="1:47" x14ac:dyDescent="0.25">
      <c r="A23" s="8" t="s">
        <v>112</v>
      </c>
      <c r="B23" s="9">
        <f t="shared" ref="B23:AU23" si="7">B22/$B22</f>
        <v>1</v>
      </c>
      <c r="C23" s="9">
        <f t="shared" si="7"/>
        <v>1.0150089007036145</v>
      </c>
      <c r="D23" s="9">
        <f t="shared" si="7"/>
        <v>1.0319468815540034</v>
      </c>
      <c r="E23" s="9">
        <f t="shared" si="7"/>
        <v>1.0498059790054524</v>
      </c>
      <c r="F23" s="9">
        <f t="shared" si="7"/>
        <v>1.0695636864092293</v>
      </c>
      <c r="G23" s="9">
        <f t="shared" si="7"/>
        <v>1.0995581135520407</v>
      </c>
      <c r="H23" s="9">
        <f t="shared" si="7"/>
        <v>1.1392753205049211</v>
      </c>
      <c r="I23" s="9">
        <f t="shared" si="7"/>
        <v>1.1809117583919939</v>
      </c>
      <c r="J23" s="9">
        <f t="shared" si="7"/>
        <v>1.2217362999738812</v>
      </c>
      <c r="K23" s="9">
        <f t="shared" si="7"/>
        <v>1.2617700705895321</v>
      </c>
      <c r="L23" s="9">
        <f t="shared" si="7"/>
        <v>1.3010337105383805</v>
      </c>
      <c r="M23" s="9">
        <f t="shared" si="7"/>
        <v>1.329452354481879</v>
      </c>
      <c r="N23" s="9">
        <f t="shared" si="7"/>
        <v>1.3579262295316483</v>
      </c>
      <c r="O23" s="9">
        <f t="shared" si="7"/>
        <v>1.3864558879987507</v>
      </c>
      <c r="P23" s="9">
        <f t="shared" si="7"/>
        <v>1.4150418877173603</v>
      </c>
      <c r="Q23" s="9">
        <f t="shared" si="7"/>
        <v>1.4436847920999911</v>
      </c>
      <c r="R23" s="9">
        <f t="shared" si="7"/>
        <v>1.4723851701932837</v>
      </c>
      <c r="S23" s="9">
        <f t="shared" si="7"/>
        <v>1.5011435967343449</v>
      </c>
      <c r="T23" s="9">
        <f t="shared" si="7"/>
        <v>1.5299606522076525</v>
      </c>
      <c r="U23" s="9">
        <f t="shared" si="7"/>
        <v>1.5588369229025283</v>
      </c>
      <c r="V23" s="9">
        <f t="shared" si="7"/>
        <v>1.5877730009711892</v>
      </c>
      <c r="W23" s="9">
        <f t="shared" si="7"/>
        <v>1.6109871432340552</v>
      </c>
      <c r="X23" s="9">
        <f t="shared" si="7"/>
        <v>1.6342622949989187</v>
      </c>
      <c r="Y23" s="9">
        <f t="shared" si="7"/>
        <v>1.6575990663607993</v>
      </c>
      <c r="Z23" s="9">
        <f t="shared" si="7"/>
        <v>1.680998073515668</v>
      </c>
      <c r="AA23" s="9">
        <f t="shared" si="7"/>
        <v>1.7044599388214539</v>
      </c>
      <c r="AB23" s="9">
        <f t="shared" si="7"/>
        <v>1.7279852908596662</v>
      </c>
      <c r="AC23" s="9">
        <f t="shared" si="7"/>
        <v>1.7515747644976292</v>
      </c>
      <c r="AD23" s="9">
        <f t="shared" si="7"/>
        <v>1.775229000951341</v>
      </c>
      <c r="AE23" s="9">
        <f t="shared" si="7"/>
        <v>1.7989486478489585</v>
      </c>
      <c r="AF23" s="9">
        <f t="shared" si="7"/>
        <v>1.822734359294921</v>
      </c>
      <c r="AG23" s="9">
        <f t="shared" si="7"/>
        <v>1.8465867959347115</v>
      </c>
      <c r="AH23" s="9">
        <f t="shared" si="7"/>
        <v>1.8705066250202693</v>
      </c>
      <c r="AI23" s="9">
        <f t="shared" si="7"/>
        <v>1.8944945204760506</v>
      </c>
      <c r="AJ23" s="9">
        <f t="shared" si="7"/>
        <v>1.9185511629657592</v>
      </c>
      <c r="AK23" s="9">
        <f t="shared" si="7"/>
        <v>1.9426772399597327</v>
      </c>
      <c r="AL23" s="9">
        <f t="shared" si="7"/>
        <v>1.9668734458030155</v>
      </c>
      <c r="AM23" s="9">
        <f t="shared" si="7"/>
        <v>1.9911404817841001</v>
      </c>
      <c r="AN23" s="9">
        <f t="shared" si="7"/>
        <v>2.0154790562043634</v>
      </c>
      <c r="AO23" s="9">
        <f t="shared" si="7"/>
        <v>2.0398898844481983</v>
      </c>
      <c r="AP23" s="9">
        <f t="shared" si="7"/>
        <v>2.0643736890538409</v>
      </c>
      <c r="AQ23" s="9">
        <f t="shared" si="7"/>
        <v>2.0889311997849083</v>
      </c>
      <c r="AR23" s="9">
        <f t="shared" si="7"/>
        <v>2.1135631537026551</v>
      </c>
      <c r="AS23" s="9">
        <f t="shared" si="7"/>
        <v>2.1382702952389478</v>
      </c>
      <c r="AT23" s="9">
        <f t="shared" si="7"/>
        <v>2.1630533762699726</v>
      </c>
      <c r="AU23" s="9">
        <f t="shared" si="7"/>
        <v>2.1879131561906759</v>
      </c>
    </row>
    <row r="24" spans="1:47" x14ac:dyDescent="0.25">
      <c r="B24" s="12">
        <f t="shared" ref="B24:AU24" si="8">B20/B22</f>
        <v>0.5</v>
      </c>
      <c r="C24" s="12">
        <f t="shared" si="8"/>
        <v>0.50246741713306264</v>
      </c>
      <c r="D24" s="12">
        <f t="shared" si="8"/>
        <v>0.50574006364366508</v>
      </c>
      <c r="E24" s="12">
        <f t="shared" si="8"/>
        <v>0.50928980182792016</v>
      </c>
      <c r="F24" s="12">
        <f t="shared" si="8"/>
        <v>0.51353807948849373</v>
      </c>
      <c r="G24" s="12">
        <f t="shared" si="8"/>
        <v>0.52207616989665495</v>
      </c>
      <c r="H24" s="12">
        <f t="shared" si="8"/>
        <v>0.53412483729984617</v>
      </c>
      <c r="I24" s="12">
        <f t="shared" si="8"/>
        <v>0.54605611109889407</v>
      </c>
      <c r="J24" s="12">
        <f t="shared" si="8"/>
        <v>0.55683697633800755</v>
      </c>
      <c r="K24" s="12">
        <f t="shared" si="8"/>
        <v>0.566606746277726</v>
      </c>
      <c r="L24" s="12">
        <f t="shared" si="8"/>
        <v>0.57548289622945226</v>
      </c>
      <c r="M24" s="12">
        <f t="shared" si="8"/>
        <v>0.58040303478941879</v>
      </c>
      <c r="N24" s="12">
        <f t="shared" si="8"/>
        <v>0.58509342936817199</v>
      </c>
      <c r="O24" s="12">
        <f t="shared" si="8"/>
        <v>0.58956743943868095</v>
      </c>
      <c r="P24" s="12">
        <f t="shared" si="8"/>
        <v>0.59383738982742473</v>
      </c>
      <c r="Q24" s="12">
        <f t="shared" si="8"/>
        <v>0.59791466886575451</v>
      </c>
      <c r="R24" s="12">
        <f t="shared" si="8"/>
        <v>0.6018098155763919</v>
      </c>
      <c r="S24" s="12">
        <f t="shared" si="8"/>
        <v>0.60553259729804521</v>
      </c>
      <c r="T24" s="12">
        <f t="shared" si="8"/>
        <v>0.6090920789496489</v>
      </c>
      <c r="U24" s="12">
        <f t="shared" si="8"/>
        <v>0.61249668496623344</v>
      </c>
      <c r="V24" s="12">
        <f t="shared" si="8"/>
        <v>0.61575425479535906</v>
      </c>
      <c r="W24" s="12">
        <f t="shared" si="8"/>
        <v>0.61750410438614012</v>
      </c>
      <c r="X24" s="12">
        <f t="shared" si="8"/>
        <v>0.61918112424182636</v>
      </c>
      <c r="Y24" s="12">
        <f t="shared" si="8"/>
        <v>0.6207879686164135</v>
      </c>
      <c r="Z24" s="12">
        <f t="shared" si="8"/>
        <v>0.62232715535587424</v>
      </c>
      <c r="AA24" s="12">
        <f t="shared" si="8"/>
        <v>0.6238010745198358</v>
      </c>
      <c r="AB24" s="12">
        <f t="shared" si="8"/>
        <v>0.62521199635819191</v>
      </c>
      <c r="AC24" s="12">
        <f t="shared" si="8"/>
        <v>0.6265620786982824</v>
      </c>
      <c r="AD24" s="12">
        <f t="shared" si="8"/>
        <v>0.62785337379285311</v>
      </c>
      <c r="AE24" s="12">
        <f t="shared" si="8"/>
        <v>0.62908783467417795</v>
      </c>
      <c r="AF24" s="12">
        <f t="shared" si="8"/>
        <v>0.63026732105541483</v>
      </c>
      <c r="AG24" s="12">
        <f t="shared" si="8"/>
        <v>0.63139360481640572</v>
      </c>
      <c r="AH24" s="12">
        <f t="shared" si="8"/>
        <v>0.63246837510768006</v>
      </c>
      <c r="AI24" s="12">
        <f t="shared" si="8"/>
        <v>0.63349324310332211</v>
      </c>
      <c r="AJ24" s="12">
        <f t="shared" si="8"/>
        <v>0.63446974643057641</v>
      </c>
      <c r="AK24" s="12">
        <f t="shared" si="8"/>
        <v>0.63539935330157293</v>
      </c>
      <c r="AL24" s="12">
        <f t="shared" si="8"/>
        <v>0.63628346637029287</v>
      </c>
      <c r="AM24" s="12">
        <f t="shared" si="8"/>
        <v>0.63712342633587538</v>
      </c>
      <c r="AN24" s="12">
        <f t="shared" si="8"/>
        <v>0.63792051531152694</v>
      </c>
      <c r="AO24" s="12">
        <f t="shared" si="8"/>
        <v>0.63867595997664661</v>
      </c>
      <c r="AP24" s="12">
        <f t="shared" si="8"/>
        <v>0.639390934528281</v>
      </c>
      <c r="AQ24" s="12">
        <f t="shared" si="8"/>
        <v>0.64006656344667034</v>
      </c>
      <c r="AR24" s="12">
        <f t="shared" si="8"/>
        <v>0.64070392408841759</v>
      </c>
      <c r="AS24" s="12">
        <f t="shared" si="8"/>
        <v>0.64130404911969774</v>
      </c>
      <c r="AT24" s="12">
        <f t="shared" si="8"/>
        <v>0.6418679288009157</v>
      </c>
      <c r="AU24" s="12">
        <f t="shared" si="8"/>
        <v>0.64239651313329893</v>
      </c>
    </row>
    <row r="27" spans="1:47" x14ac:dyDescent="0.25">
      <c r="A27" s="16" t="s">
        <v>113</v>
      </c>
      <c r="B27" s="17"/>
      <c r="C27" s="17"/>
      <c r="D27" s="17"/>
      <c r="E27" s="17"/>
      <c r="F27" s="17"/>
      <c r="G27" s="17"/>
      <c r="H27" s="17"/>
      <c r="I27" s="17"/>
    </row>
    <row r="28" spans="1:47" x14ac:dyDescent="0.25">
      <c r="B28" s="12"/>
      <c r="C28" s="12"/>
      <c r="D28" s="12"/>
      <c r="E28" s="1"/>
      <c r="F28" s="1">
        <v>2020</v>
      </c>
      <c r="G28" s="1">
        <v>2030</v>
      </c>
      <c r="H28" s="1">
        <v>2040</v>
      </c>
      <c r="I28" s="1">
        <v>2050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47" x14ac:dyDescent="0.25">
      <c r="A29" s="1" t="s">
        <v>114</v>
      </c>
      <c r="B29" s="11">
        <v>53</v>
      </c>
      <c r="C29" s="12" t="s">
        <v>115</v>
      </c>
      <c r="D29" s="12"/>
      <c r="E29" s="12" t="s">
        <v>116</v>
      </c>
      <c r="F29" s="11">
        <v>2589.5652110000001</v>
      </c>
      <c r="G29" s="11">
        <v>3721.7576190538771</v>
      </c>
      <c r="H29" s="11">
        <v>4188.0027595155916</v>
      </c>
      <c r="I29" s="11">
        <v>4629.9439591746877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47" x14ac:dyDescent="0.25">
      <c r="A30" s="1" t="s">
        <v>117</v>
      </c>
      <c r="B30" s="2">
        <v>2590</v>
      </c>
      <c r="C30" t="s">
        <v>116</v>
      </c>
      <c r="E30" t="s">
        <v>118</v>
      </c>
      <c r="F30" s="11">
        <f>F29*$B$31</f>
        <v>2071.6521688000003</v>
      </c>
      <c r="G30" s="11">
        <f>G29*$B$31</f>
        <v>2977.4060952431018</v>
      </c>
      <c r="H30" s="11">
        <f>H29*$B$31</f>
        <v>3350.4022076124734</v>
      </c>
      <c r="I30" s="11">
        <f>I29*$B$31</f>
        <v>3703.9551673397505</v>
      </c>
    </row>
    <row r="31" spans="1:47" x14ac:dyDescent="0.25">
      <c r="A31" s="1" t="s">
        <v>119</v>
      </c>
      <c r="B31" s="2">
        <v>0.8</v>
      </c>
      <c r="E31" t="s">
        <v>120</v>
      </c>
      <c r="F31" s="21">
        <f>F30/$F30</f>
        <v>1</v>
      </c>
      <c r="G31" s="21">
        <f>G30/$F30</f>
        <v>1.437213321852074</v>
      </c>
      <c r="H31" s="21">
        <f>H30/$F30</f>
        <v>1.6172609755976488</v>
      </c>
      <c r="I31" s="21">
        <f>I30/$F30</f>
        <v>1.7879232928784845</v>
      </c>
    </row>
    <row r="32" spans="1:47" x14ac:dyDescent="0.25">
      <c r="A32" s="1" t="s">
        <v>121</v>
      </c>
      <c r="B32" s="14">
        <f>B30*B31*10^6*B29*10^-9</f>
        <v>109.816</v>
      </c>
      <c r="C32" t="s">
        <v>122</v>
      </c>
      <c r="E32" s="12" t="s">
        <v>123</v>
      </c>
      <c r="F32" s="13">
        <f>B23</f>
        <v>1</v>
      </c>
      <c r="G32" s="13">
        <f>L23</f>
        <v>1.3010337105383805</v>
      </c>
      <c r="H32" s="13">
        <f>V23</f>
        <v>1.5877730009711892</v>
      </c>
      <c r="I32" s="13">
        <f>AF23</f>
        <v>1.822734359294921</v>
      </c>
    </row>
    <row r="33" spans="1:9" x14ac:dyDescent="0.25">
      <c r="A33" s="19" t="s">
        <v>124</v>
      </c>
      <c r="B33" s="20">
        <f>(B32-B22)/B32</f>
        <v>-2.0482746897841166E-2</v>
      </c>
      <c r="E33" t="s">
        <v>125</v>
      </c>
      <c r="F33" s="14">
        <f>B32</f>
        <v>109.816</v>
      </c>
      <c r="G33" s="14">
        <f>$F33*G32</f>
        <v>142.8743179564828</v>
      </c>
      <c r="H33" s="14">
        <f>$F33*H32</f>
        <v>174.36287987465212</v>
      </c>
      <c r="I33" s="14">
        <f>$F33*I32</f>
        <v>200.16539640033105</v>
      </c>
    </row>
    <row r="34" spans="1:9" x14ac:dyDescent="0.25">
      <c r="E34" t="s">
        <v>126</v>
      </c>
      <c r="F34" s="14">
        <f>F33*1000/F30</f>
        <v>53.008898720488716</v>
      </c>
      <c r="G34" s="14">
        <f>G33*1000/G30</f>
        <v>47.986170977733977</v>
      </c>
      <c r="H34" s="14">
        <f>H33*1000/H30</f>
        <v>52.042372548131972</v>
      </c>
      <c r="I34" s="14">
        <f>I33*1000/I30</f>
        <v>54.040987905394537</v>
      </c>
    </row>
    <row r="36" spans="1:9" x14ac:dyDescent="0.25">
      <c r="A36" t="s">
        <v>127</v>
      </c>
      <c r="B36" t="s">
        <v>128</v>
      </c>
      <c r="C36" t="s">
        <v>98</v>
      </c>
      <c r="F36" s="1">
        <v>2018</v>
      </c>
      <c r="G36" s="1">
        <v>2030</v>
      </c>
      <c r="H36" s="1">
        <v>2040</v>
      </c>
      <c r="I36" s="1">
        <v>2050</v>
      </c>
    </row>
    <row r="37" spans="1:9" x14ac:dyDescent="0.25">
      <c r="A37" t="s">
        <v>129</v>
      </c>
      <c r="B37">
        <v>80</v>
      </c>
      <c r="C37">
        <v>80</v>
      </c>
    </row>
    <row r="39" spans="1:9" x14ac:dyDescent="0.25">
      <c r="A39" t="s">
        <v>130</v>
      </c>
      <c r="B39">
        <v>66</v>
      </c>
      <c r="C39">
        <v>2022</v>
      </c>
      <c r="I39">
        <f>32*3.3</f>
        <v>105.6</v>
      </c>
    </row>
    <row r="40" spans="1:9" x14ac:dyDescent="0.25">
      <c r="I40">
        <f>129+105</f>
        <v>234</v>
      </c>
    </row>
    <row r="41" spans="1:9" x14ac:dyDescent="0.25">
      <c r="B41" s="18"/>
      <c r="I41">
        <f>I40/3.7</f>
        <v>63.243243243243242</v>
      </c>
    </row>
    <row r="45" spans="1:9" x14ac:dyDescent="0.25">
      <c r="F45">
        <v>1.82</v>
      </c>
    </row>
    <row r="46" spans="1:9" x14ac:dyDescent="0.25">
      <c r="F46">
        <f>4630/2590</f>
        <v>1.7876447876447876</v>
      </c>
    </row>
    <row r="47" spans="1:9" x14ac:dyDescent="0.25">
      <c r="F47">
        <f>1.82/1.7876</f>
        <v>1.018124860147684</v>
      </c>
    </row>
    <row r="48" spans="1:9" x14ac:dyDescent="0.25">
      <c r="F48">
        <f>54/53</f>
        <v>1.0188679245283019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50"/>
  <sheetViews>
    <sheetView tabSelected="1" topLeftCell="S1" workbookViewId="0">
      <selection activeCell="AG28" sqref="AG28"/>
    </sheetView>
  </sheetViews>
  <sheetFormatPr defaultRowHeight="15" x14ac:dyDescent="0.25"/>
  <cols>
    <col min="1" max="1" width="39.140625" customWidth="1"/>
    <col min="2" max="2" width="11.85546875" bestFit="1" customWidth="1"/>
  </cols>
  <sheetData>
    <row r="1" spans="1:47" x14ac:dyDescent="0.25">
      <c r="B1" s="2" t="s">
        <v>88</v>
      </c>
    </row>
    <row r="2" spans="1:47" x14ac:dyDescent="0.25">
      <c r="B2" s="3" t="s">
        <v>89</v>
      </c>
    </row>
    <row r="4" spans="1:47" x14ac:dyDescent="0.25">
      <c r="A4" s="16" t="s">
        <v>90</v>
      </c>
      <c r="B4" s="16"/>
      <c r="C4" s="16"/>
      <c r="D4" s="16"/>
      <c r="E4" s="16"/>
      <c r="F4" s="16"/>
      <c r="G4" s="16"/>
      <c r="H4" s="16"/>
      <c r="I4" s="16"/>
    </row>
    <row r="6" spans="1:47" x14ac:dyDescent="0.25">
      <c r="A6" t="s">
        <v>91</v>
      </c>
      <c r="B6" t="s">
        <v>92</v>
      </c>
    </row>
    <row r="8" spans="1:47" x14ac:dyDescent="0.25">
      <c r="A8" s="1" t="s">
        <v>93</v>
      </c>
      <c r="B8" s="6">
        <v>5.3999999999999999E-2</v>
      </c>
    </row>
    <row r="9" spans="1:47" x14ac:dyDescent="0.25">
      <c r="A9" s="1" t="s">
        <v>94</v>
      </c>
      <c r="B9" s="2">
        <v>42</v>
      </c>
      <c r="E9" t="s">
        <v>95</v>
      </c>
    </row>
    <row r="10" spans="1:47" x14ac:dyDescent="0.25">
      <c r="A10" s="1" t="s">
        <v>96</v>
      </c>
      <c r="B10" s="7">
        <f>1/B9</f>
        <v>2.3809523809523808E-2</v>
      </c>
      <c r="E10" t="s">
        <v>97</v>
      </c>
      <c r="F10" t="s">
        <v>98</v>
      </c>
      <c r="G10" t="s">
        <v>99</v>
      </c>
      <c r="H10" t="s">
        <v>100</v>
      </c>
    </row>
    <row r="11" spans="1:47" x14ac:dyDescent="0.25">
      <c r="A11" s="1" t="s">
        <v>101</v>
      </c>
      <c r="B11" s="10">
        <v>0.5</v>
      </c>
      <c r="E11">
        <v>40</v>
      </c>
      <c r="F11">
        <v>66</v>
      </c>
      <c r="G11">
        <v>80</v>
      </c>
      <c r="H11">
        <v>40</v>
      </c>
    </row>
    <row r="12" spans="1:47" x14ac:dyDescent="0.25">
      <c r="A12" s="1" t="s">
        <v>102</v>
      </c>
      <c r="B12" s="10">
        <v>0.01</v>
      </c>
    </row>
    <row r="13" spans="1:47" x14ac:dyDescent="0.25">
      <c r="A13" s="1" t="s">
        <v>103</v>
      </c>
      <c r="B13" s="2">
        <v>700</v>
      </c>
      <c r="C13" t="s">
        <v>104</v>
      </c>
    </row>
    <row r="15" spans="1:47" x14ac:dyDescent="0.25">
      <c r="A15" s="5" t="s">
        <v>104</v>
      </c>
      <c r="B15" s="5">
        <v>2020</v>
      </c>
      <c r="C15" s="5">
        <v>2021</v>
      </c>
      <c r="D15" s="5">
        <v>2022</v>
      </c>
      <c r="E15" s="5">
        <v>2023</v>
      </c>
      <c r="F15" s="5">
        <v>2024</v>
      </c>
      <c r="G15" s="5">
        <v>2025</v>
      </c>
      <c r="H15" s="5">
        <v>2026</v>
      </c>
      <c r="I15" s="5">
        <v>2027</v>
      </c>
      <c r="J15" s="5">
        <v>2028</v>
      </c>
      <c r="K15" s="5">
        <v>2029</v>
      </c>
      <c r="L15" s="5">
        <v>2030</v>
      </c>
      <c r="M15" s="5">
        <v>2031</v>
      </c>
      <c r="N15" s="5">
        <v>2032</v>
      </c>
      <c r="O15" s="5">
        <v>2033</v>
      </c>
      <c r="P15" s="5">
        <v>2034</v>
      </c>
      <c r="Q15" s="5">
        <v>2035</v>
      </c>
      <c r="R15" s="5">
        <v>2036</v>
      </c>
      <c r="S15" s="5">
        <v>2037</v>
      </c>
      <c r="T15" s="5">
        <v>2038</v>
      </c>
      <c r="U15" s="5">
        <v>2039</v>
      </c>
      <c r="V15" s="5">
        <v>2040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5" t="s">
        <v>105</v>
      </c>
      <c r="B16" s="3">
        <f>B13</f>
        <v>700</v>
      </c>
      <c r="C16" s="4">
        <f t="shared" ref="C16:AU16" si="0">B19</f>
        <v>712.33333333333337</v>
      </c>
      <c r="D16" s="4">
        <f t="shared" si="0"/>
        <v>727.3730158730159</v>
      </c>
      <c r="E16" s="4">
        <f t="shared" si="0"/>
        <v>745.05461073318224</v>
      </c>
      <c r="F16" s="4">
        <f t="shared" si="0"/>
        <v>763.31521523953506</v>
      </c>
      <c r="G16" s="4">
        <f t="shared" si="0"/>
        <v>785.14104344811756</v>
      </c>
      <c r="H16" s="4">
        <f t="shared" si="0"/>
        <v>826.44720908030524</v>
      </c>
      <c r="I16" s="4">
        <f t="shared" si="0"/>
        <v>878.76989457839318</v>
      </c>
      <c r="J16" s="4">
        <f t="shared" si="0"/>
        <v>929.84680185033619</v>
      </c>
      <c r="K16" s="4">
        <f t="shared" si="0"/>
        <v>979.70759228247107</v>
      </c>
      <c r="L16" s="4">
        <f t="shared" si="0"/>
        <v>1028.3812210376502</v>
      </c>
      <c r="M16" s="4">
        <f t="shared" si="0"/>
        <v>1075.8959538700872</v>
      </c>
      <c r="N16" s="4">
        <f t="shared" si="0"/>
        <v>1123.4106867025241</v>
      </c>
      <c r="O16" s="4">
        <f t="shared" si="0"/>
        <v>1170.9254195349611</v>
      </c>
      <c r="P16" s="4">
        <f t="shared" si="0"/>
        <v>1218.440152367398</v>
      </c>
      <c r="Q16" s="4">
        <f t="shared" si="0"/>
        <v>1265.954885199835</v>
      </c>
      <c r="R16" s="4">
        <f t="shared" si="0"/>
        <v>1313.4696180322719</v>
      </c>
      <c r="S16" s="4">
        <f t="shared" si="0"/>
        <v>1360.9843508647089</v>
      </c>
      <c r="T16" s="4">
        <f t="shared" si="0"/>
        <v>1408.4990836971458</v>
      </c>
      <c r="U16" s="4">
        <f t="shared" si="0"/>
        <v>1456.0138165295828</v>
      </c>
      <c r="V16" s="4">
        <f t="shared" si="0"/>
        <v>1503.5285493620197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x14ac:dyDescent="0.25">
      <c r="A17" s="5" t="s">
        <v>106</v>
      </c>
      <c r="B17" s="2">
        <v>29</v>
      </c>
      <c r="C17" s="2">
        <v>32</v>
      </c>
      <c r="D17" s="2">
        <v>35</v>
      </c>
      <c r="E17" s="2">
        <v>36</v>
      </c>
      <c r="F17" s="2">
        <v>40</v>
      </c>
      <c r="G17" s="2">
        <v>60</v>
      </c>
      <c r="H17" s="2">
        <v>72</v>
      </c>
      <c r="I17" s="2">
        <v>72</v>
      </c>
      <c r="J17" s="2">
        <v>72</v>
      </c>
      <c r="K17" s="2">
        <v>72</v>
      </c>
      <c r="L17" s="2">
        <v>72</v>
      </c>
      <c r="M17" s="2">
        <v>72</v>
      </c>
      <c r="N17" s="2">
        <v>72</v>
      </c>
      <c r="O17" s="2">
        <v>72</v>
      </c>
      <c r="P17" s="2">
        <v>72</v>
      </c>
      <c r="Q17" s="2">
        <v>72</v>
      </c>
      <c r="R17" s="2">
        <v>72</v>
      </c>
      <c r="S17" s="2">
        <v>72</v>
      </c>
      <c r="T17" s="2">
        <v>72</v>
      </c>
      <c r="U17" s="2">
        <v>72</v>
      </c>
      <c r="V17" s="2">
        <v>72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25">
      <c r="A18" s="5" t="s">
        <v>107</v>
      </c>
      <c r="B18" s="4">
        <f t="shared" ref="B18:L18" si="1">(B16*$B10)</f>
        <v>16.666666666666664</v>
      </c>
      <c r="C18" s="4">
        <f t="shared" si="1"/>
        <v>16.960317460317459</v>
      </c>
      <c r="D18" s="4">
        <f t="shared" si="1"/>
        <v>17.318405139833711</v>
      </c>
      <c r="E18" s="4">
        <f t="shared" si="1"/>
        <v>17.739395493647194</v>
      </c>
      <c r="F18" s="4">
        <f t="shared" si="1"/>
        <v>18.1741717914175</v>
      </c>
      <c r="G18" s="4">
        <f t="shared" si="1"/>
        <v>18.693834367812322</v>
      </c>
      <c r="H18" s="4">
        <f t="shared" si="1"/>
        <v>19.677314501912029</v>
      </c>
      <c r="I18" s="4">
        <f t="shared" si="1"/>
        <v>20.923092728056979</v>
      </c>
      <c r="J18" s="4">
        <f t="shared" si="1"/>
        <v>22.139209567865148</v>
      </c>
      <c r="K18" s="4">
        <f t="shared" si="1"/>
        <v>23.326371244820738</v>
      </c>
      <c r="L18" s="4">
        <f t="shared" si="1"/>
        <v>24.485267167563098</v>
      </c>
      <c r="M18" s="15">
        <f t="shared" ref="M18:AU18" si="2">L18</f>
        <v>24.485267167563098</v>
      </c>
      <c r="N18" s="15">
        <f t="shared" si="2"/>
        <v>24.485267167563098</v>
      </c>
      <c r="O18" s="15">
        <f t="shared" si="2"/>
        <v>24.485267167563098</v>
      </c>
      <c r="P18" s="15">
        <f t="shared" si="2"/>
        <v>24.485267167563098</v>
      </c>
      <c r="Q18" s="15">
        <f t="shared" si="2"/>
        <v>24.485267167563098</v>
      </c>
      <c r="R18" s="15">
        <f t="shared" si="2"/>
        <v>24.485267167563098</v>
      </c>
      <c r="S18" s="15">
        <f t="shared" si="2"/>
        <v>24.485267167563098</v>
      </c>
      <c r="T18" s="15">
        <f t="shared" si="2"/>
        <v>24.485267167563098</v>
      </c>
      <c r="U18" s="15">
        <f t="shared" si="2"/>
        <v>24.485267167563098</v>
      </c>
      <c r="V18" s="15">
        <f t="shared" si="2"/>
        <v>24.485267167563098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spans="1:47" x14ac:dyDescent="0.25">
      <c r="A19" s="5" t="s">
        <v>108</v>
      </c>
      <c r="B19" s="4">
        <f t="shared" ref="B19:AU19" si="3">B16+B17-B18</f>
        <v>712.33333333333337</v>
      </c>
      <c r="C19" s="4">
        <f t="shared" si="3"/>
        <v>727.3730158730159</v>
      </c>
      <c r="D19" s="4">
        <f t="shared" si="3"/>
        <v>745.05461073318224</v>
      </c>
      <c r="E19" s="4">
        <f t="shared" si="3"/>
        <v>763.31521523953506</v>
      </c>
      <c r="F19" s="4">
        <f t="shared" si="3"/>
        <v>785.14104344811756</v>
      </c>
      <c r="G19" s="4">
        <f t="shared" si="3"/>
        <v>826.44720908030524</v>
      </c>
      <c r="H19" s="4">
        <f t="shared" si="3"/>
        <v>878.76989457839318</v>
      </c>
      <c r="I19" s="4">
        <f t="shared" si="3"/>
        <v>929.84680185033619</v>
      </c>
      <c r="J19" s="4">
        <f t="shared" si="3"/>
        <v>979.70759228247107</v>
      </c>
      <c r="K19" s="4">
        <f t="shared" si="3"/>
        <v>1028.3812210376502</v>
      </c>
      <c r="L19" s="4">
        <f t="shared" si="3"/>
        <v>1075.8959538700872</v>
      </c>
      <c r="M19" s="4">
        <f t="shared" si="3"/>
        <v>1123.4106867025241</v>
      </c>
      <c r="N19" s="4">
        <f t="shared" si="3"/>
        <v>1170.9254195349611</v>
      </c>
      <c r="O19" s="4">
        <f t="shared" si="3"/>
        <v>1218.440152367398</v>
      </c>
      <c r="P19" s="4">
        <f t="shared" si="3"/>
        <v>1265.954885199835</v>
      </c>
      <c r="Q19" s="4">
        <f t="shared" si="3"/>
        <v>1313.4696180322719</v>
      </c>
      <c r="R19" s="4">
        <f t="shared" si="3"/>
        <v>1360.9843508647089</v>
      </c>
      <c r="S19" s="4">
        <f t="shared" si="3"/>
        <v>1408.4990836971458</v>
      </c>
      <c r="T19" s="4">
        <f t="shared" si="3"/>
        <v>1456.0138165295828</v>
      </c>
      <c r="U19" s="4">
        <f t="shared" si="3"/>
        <v>1503.5285493620197</v>
      </c>
      <c r="V19" s="4">
        <f t="shared" si="3"/>
        <v>1551.0432821944567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x14ac:dyDescent="0.25">
      <c r="A20" s="5" t="s">
        <v>109</v>
      </c>
      <c r="B20" s="4">
        <f t="shared" ref="B20:AU20" si="4">(B16+B17)*$B8+B18</f>
        <v>56.032666666666664</v>
      </c>
      <c r="C20" s="4">
        <f t="shared" si="4"/>
        <v>57.154317460317458</v>
      </c>
      <c r="D20" s="4">
        <f t="shared" si="4"/>
        <v>58.486547996976569</v>
      </c>
      <c r="E20" s="4">
        <f t="shared" si="4"/>
        <v>59.916344473239036</v>
      </c>
      <c r="F20" s="4">
        <f t="shared" si="4"/>
        <v>61.553193414352393</v>
      </c>
      <c r="G20" s="4">
        <f t="shared" si="4"/>
        <v>64.331450714010671</v>
      </c>
      <c r="H20" s="4">
        <f t="shared" si="4"/>
        <v>68.193463792248508</v>
      </c>
      <c r="I20" s="4">
        <f t="shared" si="4"/>
        <v>72.264667035290216</v>
      </c>
      <c r="J20" s="4">
        <f t="shared" si="4"/>
        <v>76.238936867783295</v>
      </c>
      <c r="K20" s="4">
        <f t="shared" si="4"/>
        <v>80.118581228074177</v>
      </c>
      <c r="L20" s="4">
        <f t="shared" si="4"/>
        <v>83.905853103596215</v>
      </c>
      <c r="M20" s="4">
        <f t="shared" si="4"/>
        <v>86.471648676547801</v>
      </c>
      <c r="N20" s="4">
        <f t="shared" si="4"/>
        <v>89.037444249499401</v>
      </c>
      <c r="O20" s="4">
        <f t="shared" si="4"/>
        <v>91.603239822450988</v>
      </c>
      <c r="P20" s="4">
        <f t="shared" si="4"/>
        <v>94.169035395402588</v>
      </c>
      <c r="Q20" s="4">
        <f t="shared" si="4"/>
        <v>96.734830968354188</v>
      </c>
      <c r="R20" s="4">
        <f t="shared" si="4"/>
        <v>99.300626541305775</v>
      </c>
      <c r="S20" s="4">
        <f t="shared" si="4"/>
        <v>101.86642211425738</v>
      </c>
      <c r="T20" s="4">
        <f t="shared" si="4"/>
        <v>104.43221768720896</v>
      </c>
      <c r="U20" s="4">
        <f t="shared" si="4"/>
        <v>106.99801326016056</v>
      </c>
      <c r="V20" s="4">
        <f t="shared" si="4"/>
        <v>109.56380883311216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x14ac:dyDescent="0.25">
      <c r="A21" s="5" t="s">
        <v>110</v>
      </c>
      <c r="B21" s="11">
        <f>B20*(1/B11-1)</f>
        <v>56.032666666666664</v>
      </c>
      <c r="C21" s="4">
        <f t="shared" ref="C21:AU21" si="5">$B21*(1+$B$12)^(C15-$B15)</f>
        <v>56.592993333333332</v>
      </c>
      <c r="D21" s="4">
        <f t="shared" si="5"/>
        <v>57.158923266666662</v>
      </c>
      <c r="E21" s="4">
        <f t="shared" si="5"/>
        <v>57.730512499333322</v>
      </c>
      <c r="F21" s="4">
        <f t="shared" si="5"/>
        <v>58.307817624326667</v>
      </c>
      <c r="G21" s="4">
        <f t="shared" si="5"/>
        <v>58.890895800569929</v>
      </c>
      <c r="H21" s="4">
        <f t="shared" si="5"/>
        <v>59.479804758575639</v>
      </c>
      <c r="I21" s="4">
        <f t="shared" si="5"/>
        <v>60.07460280616138</v>
      </c>
      <c r="J21" s="4">
        <f t="shared" si="5"/>
        <v>60.675348834223009</v>
      </c>
      <c r="K21" s="4">
        <f t="shared" si="5"/>
        <v>61.282102322565244</v>
      </c>
      <c r="L21" s="4">
        <f t="shared" si="5"/>
        <v>61.894923345790893</v>
      </c>
      <c r="M21" s="4">
        <f t="shared" si="5"/>
        <v>62.51387257924879</v>
      </c>
      <c r="N21" s="4">
        <f t="shared" si="5"/>
        <v>63.139011305041279</v>
      </c>
      <c r="O21" s="4">
        <f t="shared" si="5"/>
        <v>63.770401418091694</v>
      </c>
      <c r="P21" s="4">
        <f t="shared" si="5"/>
        <v>64.40810543227262</v>
      </c>
      <c r="Q21" s="4">
        <f t="shared" si="5"/>
        <v>65.052186486595332</v>
      </c>
      <c r="R21" s="4">
        <f t="shared" si="5"/>
        <v>65.702708351461297</v>
      </c>
      <c r="S21" s="4">
        <f t="shared" si="5"/>
        <v>66.359735434975917</v>
      </c>
      <c r="T21" s="4">
        <f t="shared" si="5"/>
        <v>67.023332789325679</v>
      </c>
      <c r="U21" s="4">
        <f t="shared" si="5"/>
        <v>67.693566117218921</v>
      </c>
      <c r="V21" s="4">
        <f t="shared" si="5"/>
        <v>68.370501778391116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x14ac:dyDescent="0.25">
      <c r="A22" s="5" t="s">
        <v>111</v>
      </c>
      <c r="B22" s="4">
        <f t="shared" ref="B22:AU22" si="6">B20+B21</f>
        <v>112.06533333333333</v>
      </c>
      <c r="C22" s="4">
        <f t="shared" si="6"/>
        <v>113.7473107936508</v>
      </c>
      <c r="D22" s="4">
        <f t="shared" si="6"/>
        <v>115.64547126364323</v>
      </c>
      <c r="E22" s="4">
        <f t="shared" si="6"/>
        <v>117.64685697257235</v>
      </c>
      <c r="F22" s="4">
        <f t="shared" si="6"/>
        <v>119.86101103867907</v>
      </c>
      <c r="G22" s="4">
        <f t="shared" si="6"/>
        <v>123.22234651458061</v>
      </c>
      <c r="H22" s="4">
        <f t="shared" si="6"/>
        <v>127.67326855082415</v>
      </c>
      <c r="I22" s="4">
        <f t="shared" si="6"/>
        <v>132.3392698414516</v>
      </c>
      <c r="J22" s="4">
        <f t="shared" si="6"/>
        <v>136.91428570200631</v>
      </c>
      <c r="K22" s="4">
        <f t="shared" si="6"/>
        <v>141.40068355063943</v>
      </c>
      <c r="L22" s="4">
        <f t="shared" si="6"/>
        <v>145.80077644938712</v>
      </c>
      <c r="M22" s="4">
        <f t="shared" si="6"/>
        <v>148.98552125579658</v>
      </c>
      <c r="N22" s="4">
        <f t="shared" si="6"/>
        <v>152.17645555454067</v>
      </c>
      <c r="O22" s="4">
        <f t="shared" si="6"/>
        <v>155.37364124054267</v>
      </c>
      <c r="P22" s="4">
        <f t="shared" si="6"/>
        <v>158.57714082767521</v>
      </c>
      <c r="Q22" s="4">
        <f t="shared" si="6"/>
        <v>161.78701745494953</v>
      </c>
      <c r="R22" s="4">
        <f t="shared" si="6"/>
        <v>165.00333489276707</v>
      </c>
      <c r="S22" s="4">
        <f t="shared" si="6"/>
        <v>168.22615754923328</v>
      </c>
      <c r="T22" s="4">
        <f t="shared" si="6"/>
        <v>171.45555047653465</v>
      </c>
      <c r="U22" s="4">
        <f t="shared" si="6"/>
        <v>174.69157937737947</v>
      </c>
      <c r="V22" s="4">
        <f t="shared" si="6"/>
        <v>177.93431061150329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x14ac:dyDescent="0.25">
      <c r="A23" s="8" t="s">
        <v>112</v>
      </c>
      <c r="B23" s="9">
        <f t="shared" ref="B23:AU23" si="7">B22/$B22</f>
        <v>1</v>
      </c>
      <c r="C23" s="9">
        <f t="shared" si="7"/>
        <v>1.0150089007036145</v>
      </c>
      <c r="D23" s="9">
        <f t="shared" si="7"/>
        <v>1.0319468815540034</v>
      </c>
      <c r="E23" s="9">
        <f t="shared" si="7"/>
        <v>1.0498059790054524</v>
      </c>
      <c r="F23" s="9">
        <f t="shared" si="7"/>
        <v>1.0695636864092293</v>
      </c>
      <c r="G23" s="9">
        <f t="shared" si="7"/>
        <v>1.0995581135520407</v>
      </c>
      <c r="H23" s="9">
        <f t="shared" si="7"/>
        <v>1.1392753205049211</v>
      </c>
      <c r="I23" s="9">
        <f t="shared" si="7"/>
        <v>1.1809117583919939</v>
      </c>
      <c r="J23" s="9">
        <f t="shared" si="7"/>
        <v>1.2217362999738812</v>
      </c>
      <c r="K23" s="9">
        <f t="shared" si="7"/>
        <v>1.2617700705895321</v>
      </c>
      <c r="L23" s="9">
        <f t="shared" si="7"/>
        <v>1.3010337105383805</v>
      </c>
      <c r="M23" s="9">
        <f t="shared" si="7"/>
        <v>1.329452354481879</v>
      </c>
      <c r="N23" s="9">
        <f t="shared" si="7"/>
        <v>1.3579262295316483</v>
      </c>
      <c r="O23" s="9">
        <f t="shared" si="7"/>
        <v>1.3864558879987507</v>
      </c>
      <c r="P23" s="9">
        <f t="shared" si="7"/>
        <v>1.4150418877173603</v>
      </c>
      <c r="Q23" s="9">
        <f t="shared" si="7"/>
        <v>1.4436847920999911</v>
      </c>
      <c r="R23" s="9">
        <f t="shared" si="7"/>
        <v>1.4723851701932837</v>
      </c>
      <c r="S23" s="9">
        <f t="shared" si="7"/>
        <v>1.5011435967343449</v>
      </c>
      <c r="T23" s="9">
        <f t="shared" si="7"/>
        <v>1.5299606522076525</v>
      </c>
      <c r="U23" s="9">
        <f t="shared" si="7"/>
        <v>1.5588369229025283</v>
      </c>
      <c r="V23" s="9">
        <f t="shared" si="7"/>
        <v>1.5877730009711892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B24" s="12">
        <f t="shared" ref="B24:AU24" si="8">B20/B22</f>
        <v>0.5</v>
      </c>
      <c r="C24" s="12">
        <f t="shared" si="8"/>
        <v>0.50246741713306264</v>
      </c>
      <c r="D24" s="12">
        <f t="shared" si="8"/>
        <v>0.50574006364366508</v>
      </c>
      <c r="E24" s="12">
        <f t="shared" si="8"/>
        <v>0.50928980182792016</v>
      </c>
      <c r="F24" s="12">
        <f t="shared" si="8"/>
        <v>0.51353807948849373</v>
      </c>
      <c r="G24" s="12">
        <f t="shared" si="8"/>
        <v>0.52207616989665495</v>
      </c>
      <c r="H24" s="12">
        <f t="shared" si="8"/>
        <v>0.53412483729984617</v>
      </c>
      <c r="I24" s="12">
        <f t="shared" si="8"/>
        <v>0.54605611109889407</v>
      </c>
      <c r="J24" s="12">
        <f t="shared" si="8"/>
        <v>0.55683697633800755</v>
      </c>
      <c r="K24" s="12">
        <f t="shared" si="8"/>
        <v>0.566606746277726</v>
      </c>
      <c r="L24" s="12">
        <f t="shared" si="8"/>
        <v>0.57548289622945226</v>
      </c>
      <c r="M24" s="12">
        <f t="shared" si="8"/>
        <v>0.58040303478941879</v>
      </c>
      <c r="N24" s="12">
        <f t="shared" si="8"/>
        <v>0.58509342936817199</v>
      </c>
      <c r="O24" s="12">
        <f t="shared" si="8"/>
        <v>0.58956743943868095</v>
      </c>
      <c r="P24" s="12">
        <f t="shared" si="8"/>
        <v>0.59383738982742473</v>
      </c>
      <c r="Q24" s="12">
        <f t="shared" si="8"/>
        <v>0.59791466886575451</v>
      </c>
      <c r="R24" s="12">
        <f t="shared" si="8"/>
        <v>0.6018098155763919</v>
      </c>
      <c r="S24" s="12">
        <f t="shared" si="8"/>
        <v>0.60553259729804521</v>
      </c>
      <c r="T24" s="12">
        <f t="shared" si="8"/>
        <v>0.6090920789496489</v>
      </c>
      <c r="U24" s="12">
        <f t="shared" si="8"/>
        <v>0.61249668496623344</v>
      </c>
      <c r="V24" s="12">
        <f t="shared" si="8"/>
        <v>0.61575425479535906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7" spans="1:47" x14ac:dyDescent="0.25">
      <c r="A27" s="16" t="s">
        <v>113</v>
      </c>
      <c r="B27" s="17"/>
      <c r="C27" s="17"/>
      <c r="D27" s="17"/>
      <c r="E27" s="17"/>
      <c r="F27" s="17"/>
      <c r="G27" s="17"/>
      <c r="H27" s="17"/>
      <c r="I27" s="17"/>
    </row>
    <row r="28" spans="1:47" x14ac:dyDescent="0.25">
      <c r="B28" s="12"/>
      <c r="C28" s="12"/>
      <c r="D28" s="12"/>
      <c r="E28" s="1"/>
      <c r="F28" s="1">
        <v>2020</v>
      </c>
      <c r="G28" s="1">
        <v>2030</v>
      </c>
      <c r="H28" s="1">
        <v>2040</v>
      </c>
      <c r="I28" s="1">
        <v>2050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47" x14ac:dyDescent="0.25">
      <c r="A29" s="1" t="s">
        <v>114</v>
      </c>
      <c r="B29" s="11">
        <v>53</v>
      </c>
      <c r="C29" s="12" t="s">
        <v>115</v>
      </c>
      <c r="D29" s="12"/>
      <c r="E29" s="12" t="s">
        <v>116</v>
      </c>
      <c r="F29" s="11">
        <v>2589.5652110000001</v>
      </c>
      <c r="G29" s="11">
        <v>3082.403476</v>
      </c>
      <c r="H29" s="11">
        <v>3927.2037099999998</v>
      </c>
      <c r="I29" s="11">
        <v>4629.9439591746877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47" x14ac:dyDescent="0.25">
      <c r="A30" s="1" t="s">
        <v>117</v>
      </c>
      <c r="B30" s="2">
        <v>2590</v>
      </c>
      <c r="C30" t="s">
        <v>116</v>
      </c>
      <c r="E30" t="s">
        <v>118</v>
      </c>
      <c r="F30" s="11">
        <f>F29*$B$31</f>
        <v>2071.6521688000003</v>
      </c>
      <c r="G30" s="11">
        <v>3082.403476</v>
      </c>
      <c r="H30" s="11">
        <v>3927.2037099999998</v>
      </c>
      <c r="I30" s="11">
        <f>I29*$B$31</f>
        <v>3703.9551673397505</v>
      </c>
    </row>
    <row r="31" spans="1:47" x14ac:dyDescent="0.25">
      <c r="A31" s="1" t="s">
        <v>119</v>
      </c>
      <c r="B31" s="2">
        <v>0.8</v>
      </c>
      <c r="E31" t="s">
        <v>120</v>
      </c>
      <c r="F31" s="21">
        <f>F30/$F30</f>
        <v>1</v>
      </c>
      <c r="G31" s="21">
        <f>G30/$F30</f>
        <v>1.4878962416675745</v>
      </c>
      <c r="H31" s="21">
        <f>H30/$F30</f>
        <v>1.8956868190256202</v>
      </c>
      <c r="I31" s="21">
        <f>I30/$F30</f>
        <v>1.7879232928784845</v>
      </c>
    </row>
    <row r="32" spans="1:47" x14ac:dyDescent="0.25">
      <c r="A32" s="1" t="s">
        <v>121</v>
      </c>
      <c r="B32" s="14">
        <f>B30*B31*10^6*B29*10^-9</f>
        <v>109.816</v>
      </c>
      <c r="C32" t="s">
        <v>122</v>
      </c>
      <c r="E32" s="12" t="s">
        <v>123</v>
      </c>
      <c r="F32" s="13">
        <f>B23</f>
        <v>1</v>
      </c>
      <c r="G32" s="13">
        <f>L23</f>
        <v>1.3010337105383805</v>
      </c>
      <c r="H32" s="13">
        <f>V23</f>
        <v>1.5877730009711892</v>
      </c>
      <c r="I32" s="13">
        <f>AF23</f>
        <v>0</v>
      </c>
    </row>
    <row r="33" spans="1:9" x14ac:dyDescent="0.25">
      <c r="A33" s="19" t="s">
        <v>124</v>
      </c>
      <c r="B33" s="20">
        <f>(B32-B22)/B32</f>
        <v>-2.0482746897841166E-2</v>
      </c>
      <c r="E33" t="s">
        <v>125</v>
      </c>
      <c r="F33" s="14">
        <f>B32</f>
        <v>109.816</v>
      </c>
      <c r="G33" s="14">
        <f>$F33*G32</f>
        <v>142.8743179564828</v>
      </c>
      <c r="H33" s="14">
        <f>$F33*H32</f>
        <v>174.36287987465212</v>
      </c>
      <c r="I33" s="14">
        <f>$F33*I32</f>
        <v>0</v>
      </c>
    </row>
    <row r="34" spans="1:9" x14ac:dyDescent="0.25">
      <c r="E34" t="s">
        <v>126</v>
      </c>
      <c r="F34" s="14">
        <f>F33*1000/F30</f>
        <v>53.008898720488716</v>
      </c>
      <c r="G34" s="14">
        <f>G33*1000/G30</f>
        <v>46.351595133122927</v>
      </c>
      <c r="H34" s="14">
        <f>H33*1000/H30</f>
        <v>44.398735780032183</v>
      </c>
      <c r="I34" s="14">
        <f>I33*1000/I30</f>
        <v>0</v>
      </c>
    </row>
    <row r="35" spans="1:9" x14ac:dyDescent="0.25">
      <c r="E35" t="s">
        <v>131</v>
      </c>
      <c r="F35">
        <f>B22*1000/F30</f>
        <v>54.094666576313777</v>
      </c>
      <c r="G35">
        <f>L22*1000/G30</f>
        <v>47.301003124545886</v>
      </c>
      <c r="H35">
        <f>V22*1000/H30</f>
        <v>45.3081438475987</v>
      </c>
    </row>
    <row r="36" spans="1:9" x14ac:dyDescent="0.25">
      <c r="A36" t="s">
        <v>127</v>
      </c>
      <c r="B36" t="s">
        <v>128</v>
      </c>
      <c r="C36" t="s">
        <v>98</v>
      </c>
      <c r="F36" s="1">
        <v>2018</v>
      </c>
      <c r="G36" s="1">
        <v>2030</v>
      </c>
      <c r="H36" s="1">
        <v>2040</v>
      </c>
      <c r="I36" s="1">
        <v>2050</v>
      </c>
    </row>
    <row r="37" spans="1:9" x14ac:dyDescent="0.25">
      <c r="A37" t="s">
        <v>129</v>
      </c>
      <c r="B37">
        <v>80</v>
      </c>
      <c r="C37">
        <v>80</v>
      </c>
    </row>
    <row r="39" spans="1:9" x14ac:dyDescent="0.25">
      <c r="A39" t="s">
        <v>130</v>
      </c>
      <c r="B39">
        <v>66</v>
      </c>
      <c r="C39">
        <v>2022</v>
      </c>
      <c r="I39">
        <f>32*3.3</f>
        <v>105.6</v>
      </c>
    </row>
    <row r="40" spans="1:9" x14ac:dyDescent="0.25">
      <c r="I40">
        <f>129+105</f>
        <v>234</v>
      </c>
    </row>
    <row r="41" spans="1:9" x14ac:dyDescent="0.25">
      <c r="B41" s="18"/>
      <c r="I41">
        <f>I40/3.7</f>
        <v>63.243243243243242</v>
      </c>
    </row>
    <row r="45" spans="1:9" x14ac:dyDescent="0.25">
      <c r="F45">
        <v>1.82</v>
      </c>
    </row>
    <row r="46" spans="1:9" x14ac:dyDescent="0.25">
      <c r="F46">
        <f>4630/2590</f>
        <v>1.7876447876447876</v>
      </c>
    </row>
    <row r="47" spans="1:9" x14ac:dyDescent="0.25">
      <c r="F47">
        <f>1.82/1.7876</f>
        <v>1.018124860147684</v>
      </c>
    </row>
    <row r="48" spans="1:9" x14ac:dyDescent="0.25">
      <c r="F48">
        <f>54/53</f>
        <v>1.0188679245283019</v>
      </c>
    </row>
    <row r="50" spans="1:1" x14ac:dyDescent="0.25">
      <c r="A50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50"/>
  <sheetViews>
    <sheetView topLeftCell="S1" workbookViewId="0">
      <selection activeCell="W15" sqref="W15:AU24"/>
    </sheetView>
  </sheetViews>
  <sheetFormatPr defaultRowHeight="15" x14ac:dyDescent="0.25"/>
  <cols>
    <col min="1" max="1" width="39.140625" customWidth="1"/>
    <col min="2" max="2" width="11.85546875" bestFit="1" customWidth="1"/>
  </cols>
  <sheetData>
    <row r="1" spans="1:47" x14ac:dyDescent="0.25">
      <c r="B1" s="2" t="s">
        <v>88</v>
      </c>
    </row>
    <row r="2" spans="1:47" x14ac:dyDescent="0.25">
      <c r="B2" s="3" t="s">
        <v>89</v>
      </c>
    </row>
    <row r="4" spans="1:47" x14ac:dyDescent="0.25">
      <c r="A4" s="16" t="s">
        <v>90</v>
      </c>
      <c r="B4" s="16"/>
      <c r="C4" s="16"/>
      <c r="D4" s="16"/>
      <c r="E4" s="16"/>
      <c r="F4" s="16"/>
      <c r="G4" s="16"/>
      <c r="H4" s="16"/>
      <c r="I4" s="16"/>
    </row>
    <row r="6" spans="1:47" x14ac:dyDescent="0.25">
      <c r="A6" t="s">
        <v>91</v>
      </c>
      <c r="B6" t="s">
        <v>92</v>
      </c>
    </row>
    <row r="8" spans="1:47" x14ac:dyDescent="0.25">
      <c r="A8" s="1" t="s">
        <v>93</v>
      </c>
      <c r="B8" s="6">
        <v>5.3999999999999999E-2</v>
      </c>
    </row>
    <row r="9" spans="1:47" x14ac:dyDescent="0.25">
      <c r="A9" s="1" t="s">
        <v>94</v>
      </c>
      <c r="B9" s="2">
        <v>42</v>
      </c>
      <c r="E9" t="s">
        <v>95</v>
      </c>
    </row>
    <row r="10" spans="1:47" x14ac:dyDescent="0.25">
      <c r="A10" s="1" t="s">
        <v>96</v>
      </c>
      <c r="B10" s="7">
        <f>1/B9</f>
        <v>2.3809523809523808E-2</v>
      </c>
      <c r="E10" t="s">
        <v>97</v>
      </c>
      <c r="F10" t="s">
        <v>98</v>
      </c>
      <c r="G10" t="s">
        <v>99</v>
      </c>
      <c r="H10" t="s">
        <v>100</v>
      </c>
    </row>
    <row r="11" spans="1:47" x14ac:dyDescent="0.25">
      <c r="A11" s="1" t="s">
        <v>101</v>
      </c>
      <c r="B11" s="10">
        <v>0.5</v>
      </c>
      <c r="E11">
        <v>40</v>
      </c>
      <c r="F11">
        <v>66</v>
      </c>
      <c r="G11">
        <v>80</v>
      </c>
      <c r="H11">
        <v>40</v>
      </c>
    </row>
    <row r="12" spans="1:47" x14ac:dyDescent="0.25">
      <c r="A12" s="1" t="s">
        <v>102</v>
      </c>
      <c r="B12" s="10">
        <v>0.01</v>
      </c>
    </row>
    <row r="13" spans="1:47" x14ac:dyDescent="0.25">
      <c r="A13" s="1" t="s">
        <v>103</v>
      </c>
      <c r="B13" s="2">
        <v>700</v>
      </c>
      <c r="C13" t="s">
        <v>104</v>
      </c>
    </row>
    <row r="15" spans="1:47" x14ac:dyDescent="0.25">
      <c r="A15" s="5" t="s">
        <v>104</v>
      </c>
      <c r="B15" s="5">
        <v>2020</v>
      </c>
      <c r="C15" s="5">
        <v>2021</v>
      </c>
      <c r="D15" s="5">
        <v>2022</v>
      </c>
      <c r="E15" s="5">
        <v>2023</v>
      </c>
      <c r="F15" s="5">
        <v>2024</v>
      </c>
      <c r="G15" s="5">
        <v>2025</v>
      </c>
      <c r="H15" s="5">
        <v>2026</v>
      </c>
      <c r="I15" s="5">
        <v>2027</v>
      </c>
      <c r="J15" s="5">
        <v>2028</v>
      </c>
      <c r="K15" s="5">
        <v>2029</v>
      </c>
      <c r="L15" s="5">
        <v>2030</v>
      </c>
      <c r="M15" s="5">
        <v>2031</v>
      </c>
      <c r="N15" s="5">
        <v>2032</v>
      </c>
      <c r="O15" s="5">
        <v>2033</v>
      </c>
      <c r="P15" s="5">
        <v>2034</v>
      </c>
      <c r="Q15" s="5">
        <v>2035</v>
      </c>
      <c r="R15" s="5">
        <v>2036</v>
      </c>
      <c r="S15" s="5">
        <v>2037</v>
      </c>
      <c r="T15" s="5">
        <v>2038</v>
      </c>
      <c r="U15" s="5">
        <v>2039</v>
      </c>
      <c r="V15" s="5">
        <v>2040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5" t="s">
        <v>105</v>
      </c>
      <c r="B16" s="3">
        <f>B13</f>
        <v>700</v>
      </c>
      <c r="C16" s="4">
        <f t="shared" ref="C16:AU16" si="0">B19</f>
        <v>712.33333333333337</v>
      </c>
      <c r="D16" s="4">
        <f t="shared" si="0"/>
        <v>727.3730158730159</v>
      </c>
      <c r="E16" s="4">
        <f t="shared" si="0"/>
        <v>745.05461073318224</v>
      </c>
      <c r="F16" s="4">
        <f t="shared" si="0"/>
        <v>763.31521523953506</v>
      </c>
      <c r="G16" s="4">
        <f t="shared" si="0"/>
        <v>785.14104344811756</v>
      </c>
      <c r="H16" s="4">
        <f t="shared" si="0"/>
        <v>826.44720908030524</v>
      </c>
      <c r="I16" s="4">
        <f t="shared" si="0"/>
        <v>867.96998797829406</v>
      </c>
      <c r="J16" s="4">
        <f t="shared" si="0"/>
        <v>908.50412928347362</v>
      </c>
      <c r="K16" s="4">
        <f t="shared" si="0"/>
        <v>948.07317198614896</v>
      </c>
      <c r="L16" s="4">
        <f t="shared" si="0"/>
        <v>986.7000946244749</v>
      </c>
      <c r="M16" s="4">
        <f t="shared" si="0"/>
        <v>1024.4073286285548</v>
      </c>
      <c r="N16" s="4">
        <f t="shared" si="0"/>
        <v>1062.1105590510535</v>
      </c>
      <c r="O16" s="4">
        <f t="shared" si="0"/>
        <v>1099.8137894735523</v>
      </c>
      <c r="P16" s="4">
        <f t="shared" si="0"/>
        <v>1137.5170198960511</v>
      </c>
      <c r="Q16" s="4">
        <f t="shared" si="0"/>
        <v>1175.2202503185499</v>
      </c>
      <c r="R16" s="4">
        <f t="shared" si="0"/>
        <v>1212.9234807410487</v>
      </c>
      <c r="S16" s="4">
        <f t="shared" si="0"/>
        <v>1250.6267111635475</v>
      </c>
      <c r="T16" s="4">
        <f t="shared" si="0"/>
        <v>1288.3299415860463</v>
      </c>
      <c r="U16" s="4">
        <f t="shared" si="0"/>
        <v>1326.0331720085451</v>
      </c>
      <c r="V16" s="4">
        <f t="shared" si="0"/>
        <v>1363.7364024310439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x14ac:dyDescent="0.25">
      <c r="A17" s="5" t="s">
        <v>106</v>
      </c>
      <c r="B17" s="2">
        <v>29</v>
      </c>
      <c r="C17" s="2">
        <v>32</v>
      </c>
      <c r="D17" s="2">
        <v>35</v>
      </c>
      <c r="E17" s="2">
        <v>36</v>
      </c>
      <c r="F17" s="2">
        <v>40</v>
      </c>
      <c r="G17" s="2">
        <v>60</v>
      </c>
      <c r="H17" s="2">
        <v>61.20009339990083</v>
      </c>
      <c r="I17" s="2">
        <v>61.20009339990083</v>
      </c>
      <c r="J17" s="2">
        <v>61.20009339990083</v>
      </c>
      <c r="K17" s="2">
        <v>61.20009339990083</v>
      </c>
      <c r="L17" s="2">
        <v>61.20009339990083</v>
      </c>
      <c r="M17" s="2">
        <v>61.196089818319813</v>
      </c>
      <c r="N17" s="2">
        <v>61.196089818319813</v>
      </c>
      <c r="O17" s="2">
        <v>61.196089818319813</v>
      </c>
      <c r="P17" s="2">
        <v>61.196089818319813</v>
      </c>
      <c r="Q17" s="2">
        <v>61.196089818319813</v>
      </c>
      <c r="R17" s="2">
        <v>61.196089818319813</v>
      </c>
      <c r="S17" s="2">
        <v>61.196089818319813</v>
      </c>
      <c r="T17" s="2">
        <v>61.196089818319813</v>
      </c>
      <c r="U17" s="2">
        <v>61.196089818319813</v>
      </c>
      <c r="V17" s="2">
        <v>61.196089818319813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25">
      <c r="A18" s="5" t="s">
        <v>107</v>
      </c>
      <c r="B18" s="4">
        <f t="shared" ref="B18:L18" si="1">(B16*$B10)</f>
        <v>16.666666666666664</v>
      </c>
      <c r="C18" s="4">
        <f t="shared" si="1"/>
        <v>16.960317460317459</v>
      </c>
      <c r="D18" s="4">
        <f t="shared" si="1"/>
        <v>17.318405139833711</v>
      </c>
      <c r="E18" s="4">
        <f t="shared" si="1"/>
        <v>17.739395493647194</v>
      </c>
      <c r="F18" s="4">
        <f t="shared" si="1"/>
        <v>18.1741717914175</v>
      </c>
      <c r="G18" s="4">
        <f t="shared" si="1"/>
        <v>18.693834367812322</v>
      </c>
      <c r="H18" s="4">
        <f t="shared" si="1"/>
        <v>19.677314501912029</v>
      </c>
      <c r="I18" s="4">
        <f t="shared" si="1"/>
        <v>20.665952094721288</v>
      </c>
      <c r="J18" s="4">
        <f t="shared" si="1"/>
        <v>21.631050697225561</v>
      </c>
      <c r="K18" s="4">
        <f t="shared" si="1"/>
        <v>22.573170761574975</v>
      </c>
      <c r="L18" s="4">
        <f t="shared" si="1"/>
        <v>23.49285939582083</v>
      </c>
      <c r="M18" s="15">
        <f t="shared" ref="M18:AU18" si="2">L18</f>
        <v>23.49285939582083</v>
      </c>
      <c r="N18" s="15">
        <f t="shared" si="2"/>
        <v>23.49285939582083</v>
      </c>
      <c r="O18" s="15">
        <f t="shared" si="2"/>
        <v>23.49285939582083</v>
      </c>
      <c r="P18" s="15">
        <f t="shared" si="2"/>
        <v>23.49285939582083</v>
      </c>
      <c r="Q18" s="15">
        <f t="shared" si="2"/>
        <v>23.49285939582083</v>
      </c>
      <c r="R18" s="15">
        <f t="shared" si="2"/>
        <v>23.49285939582083</v>
      </c>
      <c r="S18" s="15">
        <f t="shared" si="2"/>
        <v>23.49285939582083</v>
      </c>
      <c r="T18" s="15">
        <f t="shared" si="2"/>
        <v>23.49285939582083</v>
      </c>
      <c r="U18" s="15">
        <f t="shared" si="2"/>
        <v>23.49285939582083</v>
      </c>
      <c r="V18" s="15">
        <f t="shared" si="2"/>
        <v>23.49285939582083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spans="1:47" x14ac:dyDescent="0.25">
      <c r="A19" s="5" t="s">
        <v>108</v>
      </c>
      <c r="B19" s="4">
        <f t="shared" ref="B19:AU19" si="3">B16+B17-B18</f>
        <v>712.33333333333337</v>
      </c>
      <c r="C19" s="4">
        <f t="shared" si="3"/>
        <v>727.3730158730159</v>
      </c>
      <c r="D19" s="4">
        <f t="shared" si="3"/>
        <v>745.05461073318224</v>
      </c>
      <c r="E19" s="4">
        <f t="shared" si="3"/>
        <v>763.31521523953506</v>
      </c>
      <c r="F19" s="4">
        <f t="shared" si="3"/>
        <v>785.14104344811756</v>
      </c>
      <c r="G19" s="4">
        <f t="shared" si="3"/>
        <v>826.44720908030524</v>
      </c>
      <c r="H19" s="4">
        <f t="shared" si="3"/>
        <v>867.96998797829406</v>
      </c>
      <c r="I19" s="4">
        <f t="shared" si="3"/>
        <v>908.50412928347362</v>
      </c>
      <c r="J19" s="4">
        <f t="shared" si="3"/>
        <v>948.07317198614896</v>
      </c>
      <c r="K19" s="4">
        <f t="shared" si="3"/>
        <v>986.7000946244749</v>
      </c>
      <c r="L19" s="4">
        <f t="shared" si="3"/>
        <v>1024.4073286285548</v>
      </c>
      <c r="M19" s="4">
        <f t="shared" si="3"/>
        <v>1062.1105590510535</v>
      </c>
      <c r="N19" s="4">
        <f t="shared" si="3"/>
        <v>1099.8137894735523</v>
      </c>
      <c r="O19" s="4">
        <f t="shared" si="3"/>
        <v>1137.5170198960511</v>
      </c>
      <c r="P19" s="4">
        <f t="shared" si="3"/>
        <v>1175.2202503185499</v>
      </c>
      <c r="Q19" s="4">
        <f t="shared" si="3"/>
        <v>1212.9234807410487</v>
      </c>
      <c r="R19" s="4">
        <f t="shared" si="3"/>
        <v>1250.6267111635475</v>
      </c>
      <c r="S19" s="4">
        <f t="shared" si="3"/>
        <v>1288.3299415860463</v>
      </c>
      <c r="T19" s="4">
        <f t="shared" si="3"/>
        <v>1326.0331720085451</v>
      </c>
      <c r="U19" s="4">
        <f t="shared" si="3"/>
        <v>1363.7364024310439</v>
      </c>
      <c r="V19" s="4">
        <f t="shared" si="3"/>
        <v>1401.4396328535427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x14ac:dyDescent="0.25">
      <c r="A20" s="5" t="s">
        <v>109</v>
      </c>
      <c r="B20" s="4">
        <f t="shared" ref="B20:AU20" si="4">(B16+B17)*$B8+B18</f>
        <v>56.032666666666664</v>
      </c>
      <c r="C20" s="4">
        <f t="shared" si="4"/>
        <v>57.154317460317458</v>
      </c>
      <c r="D20" s="4">
        <f t="shared" si="4"/>
        <v>58.486547996976569</v>
      </c>
      <c r="E20" s="4">
        <f t="shared" si="4"/>
        <v>59.916344473239036</v>
      </c>
      <c r="F20" s="4">
        <f t="shared" si="4"/>
        <v>61.553193414352393</v>
      </c>
      <c r="G20" s="4">
        <f t="shared" si="4"/>
        <v>64.331450714010671</v>
      </c>
      <c r="H20" s="4">
        <f t="shared" si="4"/>
        <v>67.610268835843158</v>
      </c>
      <c r="I20" s="4">
        <f t="shared" si="4"/>
        <v>70.841136489143807</v>
      </c>
      <c r="J20" s="4">
        <f t="shared" si="4"/>
        <v>73.995078722127786</v>
      </c>
      <c r="K20" s="4">
        <f t="shared" si="4"/>
        <v>77.07392709242167</v>
      </c>
      <c r="L20" s="4">
        <f t="shared" si="4"/>
        <v>80.079469549137116</v>
      </c>
      <c r="M20" s="4">
        <f t="shared" si="4"/>
        <v>82.115443991952048</v>
      </c>
      <c r="N20" s="4">
        <f t="shared" si="4"/>
        <v>84.151418434766981</v>
      </c>
      <c r="O20" s="4">
        <f t="shared" si="4"/>
        <v>86.187392877581914</v>
      </c>
      <c r="P20" s="4">
        <f t="shared" si="4"/>
        <v>88.223367320396861</v>
      </c>
      <c r="Q20" s="4">
        <f t="shared" si="4"/>
        <v>90.259341763211793</v>
      </c>
      <c r="R20" s="4">
        <f t="shared" si="4"/>
        <v>92.295316206026726</v>
      </c>
      <c r="S20" s="4">
        <f t="shared" si="4"/>
        <v>94.331290648841659</v>
      </c>
      <c r="T20" s="4">
        <f t="shared" si="4"/>
        <v>96.367265091656591</v>
      </c>
      <c r="U20" s="4">
        <f t="shared" si="4"/>
        <v>98.403239534471524</v>
      </c>
      <c r="V20" s="4">
        <f t="shared" si="4"/>
        <v>100.43921397728646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x14ac:dyDescent="0.25">
      <c r="A21" s="5" t="s">
        <v>110</v>
      </c>
      <c r="B21" s="11">
        <f>B20*(1/B11-1)</f>
        <v>56.032666666666664</v>
      </c>
      <c r="C21" s="4">
        <f t="shared" ref="C21:AU21" si="5">$B21*(1+$B$12)^(C15-$B15)</f>
        <v>56.592993333333332</v>
      </c>
      <c r="D21" s="4">
        <f t="shared" si="5"/>
        <v>57.158923266666662</v>
      </c>
      <c r="E21" s="4">
        <f t="shared" si="5"/>
        <v>57.730512499333322</v>
      </c>
      <c r="F21" s="4">
        <f t="shared" si="5"/>
        <v>58.307817624326667</v>
      </c>
      <c r="G21" s="4">
        <f t="shared" si="5"/>
        <v>58.890895800569929</v>
      </c>
      <c r="H21" s="4">
        <f t="shared" si="5"/>
        <v>59.479804758575639</v>
      </c>
      <c r="I21" s="4">
        <f t="shared" si="5"/>
        <v>60.07460280616138</v>
      </c>
      <c r="J21" s="4">
        <f t="shared" si="5"/>
        <v>60.675348834223009</v>
      </c>
      <c r="K21" s="4">
        <f t="shared" si="5"/>
        <v>61.282102322565244</v>
      </c>
      <c r="L21" s="4">
        <f t="shared" si="5"/>
        <v>61.894923345790893</v>
      </c>
      <c r="M21" s="4">
        <f t="shared" si="5"/>
        <v>62.51387257924879</v>
      </c>
      <c r="N21" s="4">
        <f t="shared" si="5"/>
        <v>63.139011305041279</v>
      </c>
      <c r="O21" s="4">
        <f t="shared" si="5"/>
        <v>63.770401418091694</v>
      </c>
      <c r="P21" s="4">
        <f t="shared" si="5"/>
        <v>64.40810543227262</v>
      </c>
      <c r="Q21" s="4">
        <f t="shared" si="5"/>
        <v>65.052186486595332</v>
      </c>
      <c r="R21" s="4">
        <f t="shared" si="5"/>
        <v>65.702708351461297</v>
      </c>
      <c r="S21" s="4">
        <f t="shared" si="5"/>
        <v>66.359735434975917</v>
      </c>
      <c r="T21" s="4">
        <f t="shared" si="5"/>
        <v>67.023332789325679</v>
      </c>
      <c r="U21" s="4">
        <f t="shared" si="5"/>
        <v>67.693566117218921</v>
      </c>
      <c r="V21" s="4">
        <f t="shared" si="5"/>
        <v>68.370501778391116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x14ac:dyDescent="0.25">
      <c r="A22" s="5" t="s">
        <v>111</v>
      </c>
      <c r="B22" s="4">
        <f t="shared" ref="B22:AU22" si="6">B20+B21</f>
        <v>112.06533333333333</v>
      </c>
      <c r="C22" s="4">
        <f t="shared" si="6"/>
        <v>113.7473107936508</v>
      </c>
      <c r="D22" s="4">
        <f t="shared" si="6"/>
        <v>115.64547126364323</v>
      </c>
      <c r="E22" s="4">
        <f t="shared" si="6"/>
        <v>117.64685697257235</v>
      </c>
      <c r="F22" s="4">
        <f t="shared" si="6"/>
        <v>119.86101103867907</v>
      </c>
      <c r="G22" s="4">
        <f t="shared" si="6"/>
        <v>123.22234651458061</v>
      </c>
      <c r="H22" s="4">
        <f t="shared" si="6"/>
        <v>127.0900735944188</v>
      </c>
      <c r="I22" s="4">
        <f t="shared" si="6"/>
        <v>130.91573929530517</v>
      </c>
      <c r="J22" s="4">
        <f t="shared" si="6"/>
        <v>134.6704275563508</v>
      </c>
      <c r="K22" s="4">
        <f t="shared" si="6"/>
        <v>138.35602941498692</v>
      </c>
      <c r="L22" s="4">
        <f t="shared" si="6"/>
        <v>141.974392894928</v>
      </c>
      <c r="M22" s="4">
        <f t="shared" si="6"/>
        <v>144.62931657120083</v>
      </c>
      <c r="N22" s="4">
        <f t="shared" si="6"/>
        <v>147.29042973980825</v>
      </c>
      <c r="O22" s="4">
        <f t="shared" si="6"/>
        <v>149.95779429567361</v>
      </c>
      <c r="P22" s="4">
        <f t="shared" si="6"/>
        <v>152.63147275266948</v>
      </c>
      <c r="Q22" s="4">
        <f t="shared" si="6"/>
        <v>155.31152824980711</v>
      </c>
      <c r="R22" s="4">
        <f t="shared" si="6"/>
        <v>157.99802455748801</v>
      </c>
      <c r="S22" s="4">
        <f t="shared" si="6"/>
        <v>160.69102608381758</v>
      </c>
      <c r="T22" s="4">
        <f t="shared" si="6"/>
        <v>163.39059788098228</v>
      </c>
      <c r="U22" s="4">
        <f t="shared" si="6"/>
        <v>166.09680565169043</v>
      </c>
      <c r="V22" s="4">
        <f t="shared" si="6"/>
        <v>168.80971575567759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x14ac:dyDescent="0.25">
      <c r="A23" s="8" t="s">
        <v>112</v>
      </c>
      <c r="B23" s="9">
        <f t="shared" ref="B23:AU23" si="7">B22/$B22</f>
        <v>1</v>
      </c>
      <c r="C23" s="9">
        <f t="shared" si="7"/>
        <v>1.0150089007036145</v>
      </c>
      <c r="D23" s="9">
        <f t="shared" si="7"/>
        <v>1.0319468815540034</v>
      </c>
      <c r="E23" s="9">
        <f t="shared" si="7"/>
        <v>1.0498059790054524</v>
      </c>
      <c r="F23" s="9">
        <f t="shared" si="7"/>
        <v>1.0695636864092293</v>
      </c>
      <c r="G23" s="9">
        <f t="shared" si="7"/>
        <v>1.0995581135520407</v>
      </c>
      <c r="H23" s="9">
        <f t="shared" si="7"/>
        <v>1.1340712583827779</v>
      </c>
      <c r="I23" s="9">
        <f t="shared" si="7"/>
        <v>1.1682090741291258</v>
      </c>
      <c r="J23" s="9">
        <f t="shared" si="7"/>
        <v>1.2017135321926864</v>
      </c>
      <c r="K23" s="9">
        <f t="shared" si="7"/>
        <v>1.234601506992828</v>
      </c>
      <c r="L23" s="9">
        <f t="shared" si="7"/>
        <v>1.2668894891217743</v>
      </c>
      <c r="M23" s="9">
        <f t="shared" si="7"/>
        <v>1.290580345136773</v>
      </c>
      <c r="N23" s="9">
        <f t="shared" si="7"/>
        <v>1.3143264322580421</v>
      </c>
      <c r="O23" s="9">
        <f t="shared" si="7"/>
        <v>1.3381283027966449</v>
      </c>
      <c r="P23" s="9">
        <f t="shared" si="7"/>
        <v>1.3619865145867545</v>
      </c>
      <c r="Q23" s="9">
        <f t="shared" si="7"/>
        <v>1.3859016310408849</v>
      </c>
      <c r="R23" s="9">
        <f t="shared" si="7"/>
        <v>1.4098742212056778</v>
      </c>
      <c r="S23" s="9">
        <f t="shared" si="7"/>
        <v>1.4339048598182391</v>
      </c>
      <c r="T23" s="9">
        <f t="shared" si="7"/>
        <v>1.4579941273630468</v>
      </c>
      <c r="U23" s="9">
        <f t="shared" si="7"/>
        <v>1.4821426101294224</v>
      </c>
      <c r="V23" s="9">
        <f t="shared" si="7"/>
        <v>1.5063509002695832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B24" s="12">
        <f t="shared" ref="B24:AU24" si="8">B20/B22</f>
        <v>0.5</v>
      </c>
      <c r="C24" s="12">
        <f t="shared" si="8"/>
        <v>0.50246741713306264</v>
      </c>
      <c r="D24" s="12">
        <f t="shared" si="8"/>
        <v>0.50574006364366508</v>
      </c>
      <c r="E24" s="12">
        <f t="shared" si="8"/>
        <v>0.50928980182792016</v>
      </c>
      <c r="F24" s="12">
        <f t="shared" si="8"/>
        <v>0.51353807948849373</v>
      </c>
      <c r="G24" s="12">
        <f t="shared" si="8"/>
        <v>0.52207616989665495</v>
      </c>
      <c r="H24" s="12">
        <f t="shared" si="8"/>
        <v>0.5319870145925566</v>
      </c>
      <c r="I24" s="12">
        <f t="shared" si="8"/>
        <v>0.54112008892489427</v>
      </c>
      <c r="J24" s="12">
        <f t="shared" si="8"/>
        <v>0.54945306155774742</v>
      </c>
      <c r="K24" s="12">
        <f t="shared" si="8"/>
        <v>0.55706952142465083</v>
      </c>
      <c r="L24" s="12">
        <f t="shared" si="8"/>
        <v>0.56404164100495291</v>
      </c>
      <c r="M24" s="12">
        <f t="shared" si="8"/>
        <v>0.56776486219186906</v>
      </c>
      <c r="N24" s="12">
        <f t="shared" si="8"/>
        <v>0.57132984528202069</v>
      </c>
      <c r="O24" s="12">
        <f t="shared" si="8"/>
        <v>0.57474433578054096</v>
      </c>
      <c r="P24" s="12">
        <f t="shared" si="8"/>
        <v>0.57801556736177051</v>
      </c>
      <c r="Q24" s="12">
        <f t="shared" si="8"/>
        <v>0.58115030339561347</v>
      </c>
      <c r="R24" s="12">
        <f t="shared" si="8"/>
        <v>0.58415487449619874</v>
      </c>
      <c r="S24" s="12">
        <f t="shared" si="8"/>
        <v>0.58703521253039848</v>
      </c>
      <c r="T24" s="12">
        <f t="shared" si="8"/>
        <v>0.58979688146959885</v>
      </c>
      <c r="U24" s="12">
        <f t="shared" si="8"/>
        <v>0.59244510542138795</v>
      </c>
      <c r="V24" s="12">
        <f t="shared" si="8"/>
        <v>0.59498479413740957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7" spans="1:47" x14ac:dyDescent="0.25">
      <c r="A27" s="16" t="s">
        <v>113</v>
      </c>
      <c r="B27" s="17"/>
      <c r="C27" s="17"/>
      <c r="D27" s="17"/>
      <c r="E27" s="17"/>
      <c r="F27" s="17"/>
      <c r="G27" s="17"/>
      <c r="H27" s="17"/>
      <c r="I27" s="17"/>
    </row>
    <row r="28" spans="1:47" x14ac:dyDescent="0.25">
      <c r="B28" s="12"/>
      <c r="C28" s="12"/>
      <c r="D28" s="12"/>
      <c r="E28" s="1"/>
      <c r="F28" s="1">
        <v>2020</v>
      </c>
      <c r="G28" s="1">
        <v>2030</v>
      </c>
      <c r="H28" s="1">
        <v>2040</v>
      </c>
      <c r="I28" s="1">
        <v>2050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47" x14ac:dyDescent="0.25">
      <c r="A29" s="1" t="s">
        <v>114</v>
      </c>
      <c r="B29" s="11">
        <v>53</v>
      </c>
      <c r="C29" s="12" t="s">
        <v>115</v>
      </c>
      <c r="D29" s="12"/>
      <c r="E29" s="12" t="s">
        <v>116</v>
      </c>
      <c r="F29" s="11">
        <v>2589.5652110000001</v>
      </c>
      <c r="G29" s="11">
        <v>2846.5799400000001</v>
      </c>
      <c r="H29" s="11">
        <v>3735.2675979999999</v>
      </c>
      <c r="I29" s="11">
        <v>4629.9439591746877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47" x14ac:dyDescent="0.25">
      <c r="A30" s="1" t="s">
        <v>117</v>
      </c>
      <c r="B30" s="2">
        <v>2590</v>
      </c>
      <c r="C30" t="s">
        <v>116</v>
      </c>
      <c r="E30" t="s">
        <v>118</v>
      </c>
      <c r="F30" s="11">
        <f>F29*$B$31</f>
        <v>2071.6521688000003</v>
      </c>
      <c r="G30" s="11">
        <v>2846.5799400000001</v>
      </c>
      <c r="H30" s="11">
        <v>3735.2675979999999</v>
      </c>
      <c r="I30" s="11">
        <f>I29*$B$31</f>
        <v>3703.9551673397505</v>
      </c>
    </row>
    <row r="31" spans="1:47" x14ac:dyDescent="0.25">
      <c r="A31" s="1" t="s">
        <v>119</v>
      </c>
      <c r="B31" s="2">
        <v>0.8</v>
      </c>
      <c r="E31" t="s">
        <v>120</v>
      </c>
      <c r="F31" s="21">
        <f>F30/$F30</f>
        <v>1</v>
      </c>
      <c r="G31" s="21">
        <f>G30/$F30</f>
        <v>1.3740626843013299</v>
      </c>
      <c r="H31" s="21">
        <f>H30/$F30</f>
        <v>1.803038007178418</v>
      </c>
      <c r="I31" s="21">
        <f>I30/$F30</f>
        <v>1.7879232928784845</v>
      </c>
    </row>
    <row r="32" spans="1:47" x14ac:dyDescent="0.25">
      <c r="A32" s="1" t="s">
        <v>121</v>
      </c>
      <c r="B32" s="14">
        <f>B30*B31*10^6*B29*10^-9</f>
        <v>109.816</v>
      </c>
      <c r="C32" t="s">
        <v>122</v>
      </c>
      <c r="E32" s="12" t="s">
        <v>123</v>
      </c>
      <c r="F32" s="13">
        <f>B23</f>
        <v>1</v>
      </c>
      <c r="G32" s="13">
        <f>L23</f>
        <v>1.2668894891217743</v>
      </c>
      <c r="H32" s="13">
        <f>V23</f>
        <v>1.5063509002695832</v>
      </c>
      <c r="I32" s="13">
        <f>AF23</f>
        <v>0</v>
      </c>
    </row>
    <row r="33" spans="1:9" x14ac:dyDescent="0.25">
      <c r="A33" s="19" t="s">
        <v>124</v>
      </c>
      <c r="B33" s="20">
        <f>(B32-B22)/B32</f>
        <v>-2.0482746897841166E-2</v>
      </c>
      <c r="E33" t="s">
        <v>125</v>
      </c>
      <c r="F33" s="14">
        <f>B32</f>
        <v>109.816</v>
      </c>
      <c r="G33" s="14">
        <f>$F33*G32</f>
        <v>139.12473613739678</v>
      </c>
      <c r="H33" s="14">
        <f>$F33*H32</f>
        <v>165.42143046400454</v>
      </c>
      <c r="I33" s="14">
        <f>$F33*I32</f>
        <v>0</v>
      </c>
    </row>
    <row r="34" spans="1:9" x14ac:dyDescent="0.25">
      <c r="E34" t="s">
        <v>126</v>
      </c>
      <c r="F34" s="14">
        <f>F33*1000/F30</f>
        <v>53.008898720488716</v>
      </c>
      <c r="G34" s="14">
        <f>G33*1000/G30</f>
        <v>48.874347135811256</v>
      </c>
      <c r="H34" s="14">
        <f>H33*1000/H30</f>
        <v>44.286366672250544</v>
      </c>
      <c r="I34" s="14">
        <f>I33*1000/I30</f>
        <v>0</v>
      </c>
    </row>
    <row r="35" spans="1:9" x14ac:dyDescent="0.25">
      <c r="E35" t="s">
        <v>131</v>
      </c>
      <c r="F35">
        <f>B22*1000/F30</f>
        <v>54.094666576313777</v>
      </c>
      <c r="G35">
        <f>L22*1000/G30</f>
        <v>49.875428017991297</v>
      </c>
      <c r="H35">
        <f>V22*1000/H30</f>
        <v>45.193473111823238</v>
      </c>
    </row>
    <row r="36" spans="1:9" x14ac:dyDescent="0.25">
      <c r="A36" t="s">
        <v>127</v>
      </c>
      <c r="B36" t="s">
        <v>128</v>
      </c>
      <c r="C36" t="s">
        <v>98</v>
      </c>
      <c r="F36" s="1">
        <v>2018</v>
      </c>
      <c r="G36" s="1">
        <v>2030</v>
      </c>
      <c r="H36" s="1">
        <v>2040</v>
      </c>
      <c r="I36" s="1">
        <v>2050</v>
      </c>
    </row>
    <row r="37" spans="1:9" x14ac:dyDescent="0.25">
      <c r="A37" t="s">
        <v>129</v>
      </c>
      <c r="B37">
        <v>80</v>
      </c>
      <c r="C37">
        <v>80</v>
      </c>
    </row>
    <row r="39" spans="1:9" x14ac:dyDescent="0.25">
      <c r="A39" t="s">
        <v>130</v>
      </c>
      <c r="B39">
        <v>66</v>
      </c>
      <c r="C39">
        <v>2022</v>
      </c>
      <c r="I39">
        <f>32*3.3</f>
        <v>105.6</v>
      </c>
    </row>
    <row r="40" spans="1:9" x14ac:dyDescent="0.25">
      <c r="I40">
        <f>129+105</f>
        <v>234</v>
      </c>
    </row>
    <row r="41" spans="1:9" x14ac:dyDescent="0.25">
      <c r="B41" s="18"/>
      <c r="I41">
        <f>I40/3.7</f>
        <v>63.243243243243242</v>
      </c>
    </row>
    <row r="45" spans="1:9" x14ac:dyDescent="0.25">
      <c r="F45">
        <v>1.82</v>
      </c>
    </row>
    <row r="46" spans="1:9" x14ac:dyDescent="0.25">
      <c r="F46">
        <f>4630/2590</f>
        <v>1.7876447876447876</v>
      </c>
    </row>
    <row r="47" spans="1:9" x14ac:dyDescent="0.25">
      <c r="F47">
        <f>1.82/1.7876</f>
        <v>1.018124860147684</v>
      </c>
    </row>
    <row r="48" spans="1:9" x14ac:dyDescent="0.25">
      <c r="F48">
        <f>54/53</f>
        <v>1.0188679245283019</v>
      </c>
    </row>
    <row r="50" spans="1:1" x14ac:dyDescent="0.25">
      <c r="A50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50"/>
  <sheetViews>
    <sheetView topLeftCell="S1" workbookViewId="0">
      <selection activeCell="W15" sqref="W15:AU24"/>
    </sheetView>
  </sheetViews>
  <sheetFormatPr defaultRowHeight="15" x14ac:dyDescent="0.25"/>
  <cols>
    <col min="1" max="1" width="39.140625" customWidth="1"/>
    <col min="2" max="2" width="11.85546875" bestFit="1" customWidth="1"/>
  </cols>
  <sheetData>
    <row r="1" spans="1:47" x14ac:dyDescent="0.25">
      <c r="B1" s="2" t="s">
        <v>88</v>
      </c>
    </row>
    <row r="2" spans="1:47" x14ac:dyDescent="0.25">
      <c r="B2" s="3" t="s">
        <v>89</v>
      </c>
    </row>
    <row r="4" spans="1:47" x14ac:dyDescent="0.25">
      <c r="A4" s="16" t="s">
        <v>90</v>
      </c>
      <c r="B4" s="16"/>
      <c r="C4" s="16"/>
      <c r="D4" s="16"/>
      <c r="E4" s="16"/>
      <c r="F4" s="16"/>
      <c r="G4" s="16"/>
      <c r="H4" s="16"/>
      <c r="I4" s="16"/>
    </row>
    <row r="6" spans="1:47" x14ac:dyDescent="0.25">
      <c r="A6" t="s">
        <v>91</v>
      </c>
      <c r="B6" t="s">
        <v>92</v>
      </c>
    </row>
    <row r="8" spans="1:47" x14ac:dyDescent="0.25">
      <c r="A8" s="1" t="s">
        <v>93</v>
      </c>
      <c r="B8" s="6">
        <v>5.3999999999999999E-2</v>
      </c>
    </row>
    <row r="9" spans="1:47" x14ac:dyDescent="0.25">
      <c r="A9" s="1" t="s">
        <v>94</v>
      </c>
      <c r="B9" s="2">
        <v>42</v>
      </c>
      <c r="E9" t="s">
        <v>95</v>
      </c>
    </row>
    <row r="10" spans="1:47" x14ac:dyDescent="0.25">
      <c r="A10" s="1" t="s">
        <v>96</v>
      </c>
      <c r="B10" s="7">
        <f>1/B9</f>
        <v>2.3809523809523808E-2</v>
      </c>
      <c r="E10" t="s">
        <v>97</v>
      </c>
      <c r="F10" t="s">
        <v>98</v>
      </c>
      <c r="G10" t="s">
        <v>99</v>
      </c>
      <c r="H10" t="s">
        <v>100</v>
      </c>
    </row>
    <row r="11" spans="1:47" x14ac:dyDescent="0.25">
      <c r="A11" s="1" t="s">
        <v>101</v>
      </c>
      <c r="B11" s="10">
        <v>0.5</v>
      </c>
      <c r="E11">
        <v>40</v>
      </c>
      <c r="F11">
        <v>66</v>
      </c>
      <c r="G11">
        <v>80</v>
      </c>
      <c r="H11">
        <v>40</v>
      </c>
    </row>
    <row r="12" spans="1:47" x14ac:dyDescent="0.25">
      <c r="A12" s="1" t="s">
        <v>102</v>
      </c>
      <c r="B12" s="10">
        <v>0.01</v>
      </c>
    </row>
    <row r="13" spans="1:47" x14ac:dyDescent="0.25">
      <c r="A13" s="1" t="s">
        <v>103</v>
      </c>
      <c r="B13" s="2">
        <v>700</v>
      </c>
      <c r="C13" t="s">
        <v>104</v>
      </c>
    </row>
    <row r="15" spans="1:47" x14ac:dyDescent="0.25">
      <c r="A15" s="5" t="s">
        <v>104</v>
      </c>
      <c r="B15" s="5">
        <v>2020</v>
      </c>
      <c r="C15" s="5">
        <v>2021</v>
      </c>
      <c r="D15" s="5">
        <v>2022</v>
      </c>
      <c r="E15" s="5">
        <v>2023</v>
      </c>
      <c r="F15" s="5">
        <v>2024</v>
      </c>
      <c r="G15" s="5">
        <v>2025</v>
      </c>
      <c r="H15" s="5">
        <v>2026</v>
      </c>
      <c r="I15" s="5">
        <v>2027</v>
      </c>
      <c r="J15" s="5">
        <v>2028</v>
      </c>
      <c r="K15" s="5">
        <v>2029</v>
      </c>
      <c r="L15" s="5">
        <v>2030</v>
      </c>
      <c r="M15" s="5">
        <v>2031</v>
      </c>
      <c r="N15" s="5">
        <v>2032</v>
      </c>
      <c r="O15" s="5">
        <v>2033</v>
      </c>
      <c r="P15" s="5">
        <v>2034</v>
      </c>
      <c r="Q15" s="5">
        <v>2035</v>
      </c>
      <c r="R15" s="5">
        <v>2036</v>
      </c>
      <c r="S15" s="5">
        <v>2037</v>
      </c>
      <c r="T15" s="5">
        <v>2038</v>
      </c>
      <c r="U15" s="5">
        <v>2039</v>
      </c>
      <c r="V15" s="5">
        <v>2040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5" t="s">
        <v>105</v>
      </c>
      <c r="B16" s="3">
        <f>B13</f>
        <v>700</v>
      </c>
      <c r="C16" s="4">
        <f t="shared" ref="C16:AU16" si="0">B19</f>
        <v>712.33333333333337</v>
      </c>
      <c r="D16" s="4">
        <f t="shared" si="0"/>
        <v>727.3730158730159</v>
      </c>
      <c r="E16" s="4">
        <f t="shared" si="0"/>
        <v>745.05461073318224</v>
      </c>
      <c r="F16" s="4">
        <f t="shared" si="0"/>
        <v>763.31521523953506</v>
      </c>
      <c r="G16" s="4">
        <f t="shared" si="0"/>
        <v>785.14104344811756</v>
      </c>
      <c r="H16" s="4">
        <f t="shared" si="0"/>
        <v>826.44720908030524</v>
      </c>
      <c r="I16" s="4">
        <f t="shared" si="0"/>
        <v>860.7713979665748</v>
      </c>
      <c r="J16" s="4">
        <f t="shared" si="0"/>
        <v>894.27834426031416</v>
      </c>
      <c r="K16" s="4">
        <f t="shared" si="0"/>
        <v>926.98750611848834</v>
      </c>
      <c r="L16" s="4">
        <f t="shared" si="0"/>
        <v>958.9178784086107</v>
      </c>
      <c r="M16" s="4">
        <f t="shared" si="0"/>
        <v>990.0880037394445</v>
      </c>
      <c r="N16" s="4">
        <f t="shared" si="0"/>
        <v>1021.2549704275536</v>
      </c>
      <c r="O16" s="4">
        <f t="shared" si="0"/>
        <v>1052.4219371156628</v>
      </c>
      <c r="P16" s="4">
        <f t="shared" si="0"/>
        <v>1083.5889038037719</v>
      </c>
      <c r="Q16" s="4">
        <f t="shared" si="0"/>
        <v>1114.7558704918811</v>
      </c>
      <c r="R16" s="4">
        <f t="shared" si="0"/>
        <v>1145.9228371799902</v>
      </c>
      <c r="S16" s="4">
        <f t="shared" si="0"/>
        <v>1177.0898038680994</v>
      </c>
      <c r="T16" s="4">
        <f t="shared" si="0"/>
        <v>1208.2567705562085</v>
      </c>
      <c r="U16" s="4">
        <f t="shared" si="0"/>
        <v>1239.4237372443176</v>
      </c>
      <c r="V16" s="4">
        <f t="shared" si="0"/>
        <v>1270.5907039324268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x14ac:dyDescent="0.25">
      <c r="A17" s="5" t="s">
        <v>106</v>
      </c>
      <c r="B17" s="2">
        <v>29</v>
      </c>
      <c r="C17" s="2">
        <v>32</v>
      </c>
      <c r="D17" s="2">
        <v>35</v>
      </c>
      <c r="E17" s="2">
        <v>36</v>
      </c>
      <c r="F17" s="2">
        <v>40</v>
      </c>
      <c r="G17" s="2">
        <v>60</v>
      </c>
      <c r="H17" s="2">
        <v>54.001503388181597</v>
      </c>
      <c r="I17" s="2">
        <v>54.001503388181597</v>
      </c>
      <c r="J17" s="2">
        <v>54.001503388181597</v>
      </c>
      <c r="K17" s="2">
        <v>54.001503388181597</v>
      </c>
      <c r="L17" s="2">
        <v>54.001503388181597</v>
      </c>
      <c r="M17" s="2">
        <v>53.998344745457011</v>
      </c>
      <c r="N17" s="2">
        <v>53.998344745457011</v>
      </c>
      <c r="O17" s="2">
        <v>53.998344745457011</v>
      </c>
      <c r="P17" s="2">
        <v>53.998344745457011</v>
      </c>
      <c r="Q17" s="2">
        <v>53.998344745457011</v>
      </c>
      <c r="R17" s="2">
        <v>53.998344745457011</v>
      </c>
      <c r="S17" s="2">
        <v>53.998344745457011</v>
      </c>
      <c r="T17" s="2">
        <v>53.998344745457011</v>
      </c>
      <c r="U17" s="2">
        <v>53.998344745457011</v>
      </c>
      <c r="V17" s="2">
        <v>53.998344745457011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25">
      <c r="A18" s="5" t="s">
        <v>107</v>
      </c>
      <c r="B18" s="4">
        <f t="shared" ref="B18:L18" si="1">(B16*$B10)</f>
        <v>16.666666666666664</v>
      </c>
      <c r="C18" s="4">
        <f t="shared" si="1"/>
        <v>16.960317460317459</v>
      </c>
      <c r="D18" s="4">
        <f t="shared" si="1"/>
        <v>17.318405139833711</v>
      </c>
      <c r="E18" s="4">
        <f t="shared" si="1"/>
        <v>17.739395493647194</v>
      </c>
      <c r="F18" s="4">
        <f t="shared" si="1"/>
        <v>18.1741717914175</v>
      </c>
      <c r="G18" s="4">
        <f t="shared" si="1"/>
        <v>18.693834367812322</v>
      </c>
      <c r="H18" s="4">
        <f t="shared" si="1"/>
        <v>19.677314501912029</v>
      </c>
      <c r="I18" s="4">
        <f t="shared" si="1"/>
        <v>20.494557094442257</v>
      </c>
      <c r="J18" s="4">
        <f t="shared" si="1"/>
        <v>21.29234153000748</v>
      </c>
      <c r="K18" s="4">
        <f t="shared" si="1"/>
        <v>22.071131098059244</v>
      </c>
      <c r="L18" s="4">
        <f t="shared" si="1"/>
        <v>22.831378057347873</v>
      </c>
      <c r="M18" s="15">
        <f t="shared" ref="M18:AU18" si="2">L18</f>
        <v>22.831378057347873</v>
      </c>
      <c r="N18" s="15">
        <f t="shared" si="2"/>
        <v>22.831378057347873</v>
      </c>
      <c r="O18" s="15">
        <f t="shared" si="2"/>
        <v>22.831378057347873</v>
      </c>
      <c r="P18" s="15">
        <f t="shared" si="2"/>
        <v>22.831378057347873</v>
      </c>
      <c r="Q18" s="15">
        <f t="shared" si="2"/>
        <v>22.831378057347873</v>
      </c>
      <c r="R18" s="15">
        <f t="shared" si="2"/>
        <v>22.831378057347873</v>
      </c>
      <c r="S18" s="15">
        <f t="shared" si="2"/>
        <v>22.831378057347873</v>
      </c>
      <c r="T18" s="15">
        <f t="shared" si="2"/>
        <v>22.831378057347873</v>
      </c>
      <c r="U18" s="15">
        <f t="shared" si="2"/>
        <v>22.831378057347873</v>
      </c>
      <c r="V18" s="15">
        <f t="shared" si="2"/>
        <v>22.831378057347873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spans="1:47" x14ac:dyDescent="0.25">
      <c r="A19" s="5" t="s">
        <v>108</v>
      </c>
      <c r="B19" s="4">
        <f t="shared" ref="B19:AU19" si="3">B16+B17-B18</f>
        <v>712.33333333333337</v>
      </c>
      <c r="C19" s="4">
        <f t="shared" si="3"/>
        <v>727.3730158730159</v>
      </c>
      <c r="D19" s="4">
        <f t="shared" si="3"/>
        <v>745.05461073318224</v>
      </c>
      <c r="E19" s="4">
        <f t="shared" si="3"/>
        <v>763.31521523953506</v>
      </c>
      <c r="F19" s="4">
        <f t="shared" si="3"/>
        <v>785.14104344811756</v>
      </c>
      <c r="G19" s="4">
        <f t="shared" si="3"/>
        <v>826.44720908030524</v>
      </c>
      <c r="H19" s="4">
        <f t="shared" si="3"/>
        <v>860.7713979665748</v>
      </c>
      <c r="I19" s="4">
        <f t="shared" si="3"/>
        <v>894.27834426031416</v>
      </c>
      <c r="J19" s="4">
        <f t="shared" si="3"/>
        <v>926.98750611848834</v>
      </c>
      <c r="K19" s="4">
        <f t="shared" si="3"/>
        <v>958.9178784086107</v>
      </c>
      <c r="L19" s="4">
        <f t="shared" si="3"/>
        <v>990.0880037394445</v>
      </c>
      <c r="M19" s="4">
        <f t="shared" si="3"/>
        <v>1021.2549704275536</v>
      </c>
      <c r="N19" s="4">
        <f t="shared" si="3"/>
        <v>1052.4219371156628</v>
      </c>
      <c r="O19" s="4">
        <f t="shared" si="3"/>
        <v>1083.5889038037719</v>
      </c>
      <c r="P19" s="4">
        <f t="shared" si="3"/>
        <v>1114.7558704918811</v>
      </c>
      <c r="Q19" s="4">
        <f t="shared" si="3"/>
        <v>1145.9228371799902</v>
      </c>
      <c r="R19" s="4">
        <f t="shared" si="3"/>
        <v>1177.0898038680994</v>
      </c>
      <c r="S19" s="4">
        <f t="shared" si="3"/>
        <v>1208.2567705562085</v>
      </c>
      <c r="T19" s="4">
        <f t="shared" si="3"/>
        <v>1239.4237372443176</v>
      </c>
      <c r="U19" s="4">
        <f t="shared" si="3"/>
        <v>1270.5907039324268</v>
      </c>
      <c r="V19" s="4">
        <f t="shared" si="3"/>
        <v>1301.7576706205359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x14ac:dyDescent="0.25">
      <c r="A20" s="5" t="s">
        <v>109</v>
      </c>
      <c r="B20" s="4">
        <f t="shared" ref="B20:AU20" si="4">(B16+B17)*$B8+B18</f>
        <v>56.032666666666664</v>
      </c>
      <c r="C20" s="4">
        <f t="shared" si="4"/>
        <v>57.154317460317458</v>
      </c>
      <c r="D20" s="4">
        <f t="shared" si="4"/>
        <v>58.486547996976569</v>
      </c>
      <c r="E20" s="4">
        <f t="shared" si="4"/>
        <v>59.916344473239036</v>
      </c>
      <c r="F20" s="4">
        <f t="shared" si="4"/>
        <v>61.553193414352393</v>
      </c>
      <c r="G20" s="4">
        <f t="shared" si="4"/>
        <v>64.331450714010671</v>
      </c>
      <c r="H20" s="4">
        <f t="shared" si="4"/>
        <v>67.221544975210321</v>
      </c>
      <c r="I20" s="4">
        <f t="shared" si="4"/>
        <v>69.892293767599099</v>
      </c>
      <c r="J20" s="4">
        <f t="shared" si="4"/>
        <v>72.499453303026257</v>
      </c>
      <c r="K20" s="4">
        <f t="shared" si="4"/>
        <v>75.044537611419415</v>
      </c>
      <c r="L20" s="4">
        <f t="shared" si="4"/>
        <v>77.529024674374654</v>
      </c>
      <c r="M20" s="4">
        <f t="shared" si="4"/>
        <v>79.212040875532551</v>
      </c>
      <c r="N20" s="4">
        <f t="shared" si="4"/>
        <v>80.895057076690449</v>
      </c>
      <c r="O20" s="4">
        <f t="shared" si="4"/>
        <v>82.578073277848333</v>
      </c>
      <c r="P20" s="4">
        <f t="shared" si="4"/>
        <v>84.26108947900623</v>
      </c>
      <c r="Q20" s="4">
        <f t="shared" si="4"/>
        <v>85.944105680164128</v>
      </c>
      <c r="R20" s="4">
        <f t="shared" si="4"/>
        <v>87.627121881322026</v>
      </c>
      <c r="S20" s="4">
        <f t="shared" si="4"/>
        <v>89.310138082479924</v>
      </c>
      <c r="T20" s="4">
        <f t="shared" si="4"/>
        <v>90.993154283637807</v>
      </c>
      <c r="U20" s="4">
        <f t="shared" si="4"/>
        <v>92.676170484795705</v>
      </c>
      <c r="V20" s="4">
        <f t="shared" si="4"/>
        <v>94.359186685953603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x14ac:dyDescent="0.25">
      <c r="A21" s="5" t="s">
        <v>110</v>
      </c>
      <c r="B21" s="11">
        <f>B20*(1/B11-1)</f>
        <v>56.032666666666664</v>
      </c>
      <c r="C21" s="4">
        <f t="shared" ref="C21:AU21" si="5">$B21*(1+$B$12)^(C15-$B15)</f>
        <v>56.592993333333332</v>
      </c>
      <c r="D21" s="4">
        <f t="shared" si="5"/>
        <v>57.158923266666662</v>
      </c>
      <c r="E21" s="4">
        <f t="shared" si="5"/>
        <v>57.730512499333322</v>
      </c>
      <c r="F21" s="4">
        <f t="shared" si="5"/>
        <v>58.307817624326667</v>
      </c>
      <c r="G21" s="4">
        <f t="shared" si="5"/>
        <v>58.890895800569929</v>
      </c>
      <c r="H21" s="4">
        <f t="shared" si="5"/>
        <v>59.479804758575639</v>
      </c>
      <c r="I21" s="4">
        <f t="shared" si="5"/>
        <v>60.07460280616138</v>
      </c>
      <c r="J21" s="4">
        <f t="shared" si="5"/>
        <v>60.675348834223009</v>
      </c>
      <c r="K21" s="4">
        <f t="shared" si="5"/>
        <v>61.282102322565244</v>
      </c>
      <c r="L21" s="4">
        <f t="shared" si="5"/>
        <v>61.894923345790893</v>
      </c>
      <c r="M21" s="4">
        <f t="shared" si="5"/>
        <v>62.51387257924879</v>
      </c>
      <c r="N21" s="4">
        <f t="shared" si="5"/>
        <v>63.139011305041279</v>
      </c>
      <c r="O21" s="4">
        <f t="shared" si="5"/>
        <v>63.770401418091694</v>
      </c>
      <c r="P21" s="4">
        <f t="shared" si="5"/>
        <v>64.40810543227262</v>
      </c>
      <c r="Q21" s="4">
        <f t="shared" si="5"/>
        <v>65.052186486595332</v>
      </c>
      <c r="R21" s="4">
        <f t="shared" si="5"/>
        <v>65.702708351461297</v>
      </c>
      <c r="S21" s="4">
        <f t="shared" si="5"/>
        <v>66.359735434975917</v>
      </c>
      <c r="T21" s="4">
        <f t="shared" si="5"/>
        <v>67.023332789325679</v>
      </c>
      <c r="U21" s="4">
        <f t="shared" si="5"/>
        <v>67.693566117218921</v>
      </c>
      <c r="V21" s="4">
        <f t="shared" si="5"/>
        <v>68.370501778391116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x14ac:dyDescent="0.25">
      <c r="A22" s="5" t="s">
        <v>111</v>
      </c>
      <c r="B22" s="4">
        <f t="shared" ref="B22:AU22" si="6">B20+B21</f>
        <v>112.06533333333333</v>
      </c>
      <c r="C22" s="4">
        <f t="shared" si="6"/>
        <v>113.7473107936508</v>
      </c>
      <c r="D22" s="4">
        <f t="shared" si="6"/>
        <v>115.64547126364323</v>
      </c>
      <c r="E22" s="4">
        <f t="shared" si="6"/>
        <v>117.64685697257235</v>
      </c>
      <c r="F22" s="4">
        <f t="shared" si="6"/>
        <v>119.86101103867907</v>
      </c>
      <c r="G22" s="4">
        <f t="shared" si="6"/>
        <v>123.22234651458061</v>
      </c>
      <c r="H22" s="4">
        <f t="shared" si="6"/>
        <v>126.70134973378596</v>
      </c>
      <c r="I22" s="4">
        <f t="shared" si="6"/>
        <v>129.96689657376049</v>
      </c>
      <c r="J22" s="4">
        <f t="shared" si="6"/>
        <v>133.17480213724926</v>
      </c>
      <c r="K22" s="4">
        <f t="shared" si="6"/>
        <v>136.32663993398467</v>
      </c>
      <c r="L22" s="4">
        <f t="shared" si="6"/>
        <v>139.42394802016554</v>
      </c>
      <c r="M22" s="4">
        <f t="shared" si="6"/>
        <v>141.72591345478133</v>
      </c>
      <c r="N22" s="4">
        <f t="shared" si="6"/>
        <v>144.03406838173174</v>
      </c>
      <c r="O22" s="4">
        <f t="shared" si="6"/>
        <v>146.34847469594001</v>
      </c>
      <c r="P22" s="4">
        <f t="shared" si="6"/>
        <v>148.66919491127885</v>
      </c>
      <c r="Q22" s="4">
        <f t="shared" si="6"/>
        <v>150.99629216675947</v>
      </c>
      <c r="R22" s="4">
        <f t="shared" si="6"/>
        <v>153.32983023278331</v>
      </c>
      <c r="S22" s="4">
        <f t="shared" si="6"/>
        <v>155.66987351745584</v>
      </c>
      <c r="T22" s="4">
        <f t="shared" si="6"/>
        <v>158.01648707296349</v>
      </c>
      <c r="U22" s="4">
        <f t="shared" si="6"/>
        <v>160.36973660201463</v>
      </c>
      <c r="V22" s="4">
        <f t="shared" si="6"/>
        <v>162.72968846434472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x14ac:dyDescent="0.25">
      <c r="A23" s="8" t="s">
        <v>112</v>
      </c>
      <c r="B23" s="9">
        <f t="shared" ref="B23:AU23" si="7">B22/$B22</f>
        <v>1</v>
      </c>
      <c r="C23" s="9">
        <f t="shared" si="7"/>
        <v>1.0150089007036145</v>
      </c>
      <c r="D23" s="9">
        <f t="shared" si="7"/>
        <v>1.0319468815540034</v>
      </c>
      <c r="E23" s="9">
        <f t="shared" si="7"/>
        <v>1.0498059790054524</v>
      </c>
      <c r="F23" s="9">
        <f t="shared" si="7"/>
        <v>1.0695636864092293</v>
      </c>
      <c r="G23" s="9">
        <f t="shared" si="7"/>
        <v>1.0995581135520407</v>
      </c>
      <c r="H23" s="9">
        <f t="shared" si="7"/>
        <v>1.1306025330502383</v>
      </c>
      <c r="I23" s="9">
        <f t="shared" si="7"/>
        <v>1.1597422031234206</v>
      </c>
      <c r="J23" s="9">
        <f t="shared" si="7"/>
        <v>1.188367518982224</v>
      </c>
      <c r="K23" s="9">
        <f t="shared" si="7"/>
        <v>1.2164925216301028</v>
      </c>
      <c r="L23" s="9">
        <f t="shared" si="7"/>
        <v>1.2441309357056498</v>
      </c>
      <c r="M23" s="9">
        <f t="shared" si="7"/>
        <v>1.2646722161011554</v>
      </c>
      <c r="N23" s="9">
        <f t="shared" si="7"/>
        <v>1.2852687276029318</v>
      </c>
      <c r="O23" s="9">
        <f t="shared" si="7"/>
        <v>1.3059210225220408</v>
      </c>
      <c r="P23" s="9">
        <f t="shared" si="7"/>
        <v>1.3266296586926571</v>
      </c>
      <c r="Q23" s="9">
        <f t="shared" si="7"/>
        <v>1.347395199527295</v>
      </c>
      <c r="R23" s="9">
        <f t="shared" si="7"/>
        <v>1.3682182140725945</v>
      </c>
      <c r="S23" s="9">
        <f t="shared" si="7"/>
        <v>1.3890992770656627</v>
      </c>
      <c r="T23" s="9">
        <f t="shared" si="7"/>
        <v>1.4100389689909769</v>
      </c>
      <c r="U23" s="9">
        <f t="shared" si="7"/>
        <v>1.4310378761378597</v>
      </c>
      <c r="V23" s="9">
        <f t="shared" si="7"/>
        <v>1.452096590658527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B24" s="12">
        <f t="shared" ref="B24:AU24" si="8">B20/B22</f>
        <v>0.5</v>
      </c>
      <c r="C24" s="12">
        <f t="shared" si="8"/>
        <v>0.50246741713306264</v>
      </c>
      <c r="D24" s="12">
        <f t="shared" si="8"/>
        <v>0.50574006364366508</v>
      </c>
      <c r="E24" s="12">
        <f t="shared" si="8"/>
        <v>0.50928980182792016</v>
      </c>
      <c r="F24" s="12">
        <f t="shared" si="8"/>
        <v>0.51353807948849373</v>
      </c>
      <c r="G24" s="12">
        <f t="shared" si="8"/>
        <v>0.52207616989665495</v>
      </c>
      <c r="H24" s="12">
        <f t="shared" si="8"/>
        <v>0.53055113553604982</v>
      </c>
      <c r="I24" s="12">
        <f t="shared" si="8"/>
        <v>0.53776996766198015</v>
      </c>
      <c r="J24" s="12">
        <f t="shared" si="8"/>
        <v>0.54439317453093494</v>
      </c>
      <c r="K24" s="12">
        <f t="shared" si="8"/>
        <v>0.55047595721393316</v>
      </c>
      <c r="L24" s="12">
        <f t="shared" si="8"/>
        <v>0.55606677170812335</v>
      </c>
      <c r="M24" s="12">
        <f t="shared" si="8"/>
        <v>0.55891007469714227</v>
      </c>
      <c r="N24" s="12">
        <f t="shared" si="8"/>
        <v>0.56163835393648165</v>
      </c>
      <c r="O24" s="12">
        <f t="shared" si="8"/>
        <v>0.56425646696637011</v>
      </c>
      <c r="P24" s="12">
        <f t="shared" si="8"/>
        <v>0.56676899023560745</v>
      </c>
      <c r="Q24" s="12">
        <f t="shared" si="8"/>
        <v>0.56918023910976523</v>
      </c>
      <c r="R24" s="12">
        <f t="shared" si="8"/>
        <v>0.57149428619524134</v>
      </c>
      <c r="S24" s="12">
        <f t="shared" si="8"/>
        <v>0.573714978142288</v>
      </c>
      <c r="T24" s="12">
        <f t="shared" si="8"/>
        <v>0.57584595107232117</v>
      </c>
      <c r="U24" s="12">
        <f t="shared" si="8"/>
        <v>0.57789064475916507</v>
      </c>
      <c r="V24" s="12">
        <f t="shared" si="8"/>
        <v>0.57985231568011264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7" spans="1:47" x14ac:dyDescent="0.25">
      <c r="A27" s="16" t="s">
        <v>113</v>
      </c>
      <c r="B27" s="17"/>
      <c r="C27" s="17"/>
      <c r="D27" s="17"/>
      <c r="E27" s="17"/>
      <c r="F27" s="17"/>
      <c r="G27" s="17"/>
      <c r="H27" s="17"/>
      <c r="I27" s="17"/>
    </row>
    <row r="28" spans="1:47" x14ac:dyDescent="0.25">
      <c r="B28" s="12"/>
      <c r="C28" s="12"/>
      <c r="D28" s="12"/>
      <c r="E28" s="1"/>
      <c r="F28" s="1">
        <v>2020</v>
      </c>
      <c r="G28" s="1">
        <v>2030</v>
      </c>
      <c r="H28" s="1">
        <v>2040</v>
      </c>
      <c r="I28" s="1">
        <v>2050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47" x14ac:dyDescent="0.25">
      <c r="A29" s="1" t="s">
        <v>114</v>
      </c>
      <c r="B29" s="11">
        <v>53</v>
      </c>
      <c r="C29" s="12" t="s">
        <v>115</v>
      </c>
      <c r="D29" s="12"/>
      <c r="E29" s="12" t="s">
        <v>116</v>
      </c>
      <c r="F29" s="11">
        <v>2589.5652110000001</v>
      </c>
      <c r="G29" s="11">
        <v>2541.897097</v>
      </c>
      <c r="H29" s="11">
        <v>3536.5811330000001</v>
      </c>
      <c r="I29" s="11">
        <v>4629.9439591746877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47" x14ac:dyDescent="0.25">
      <c r="A30" s="1" t="s">
        <v>117</v>
      </c>
      <c r="B30" s="2">
        <v>2590</v>
      </c>
      <c r="C30" t="s">
        <v>116</v>
      </c>
      <c r="E30" t="s">
        <v>118</v>
      </c>
      <c r="F30" s="11">
        <f>F29*$B$31</f>
        <v>2071.6521688000003</v>
      </c>
      <c r="G30" s="11">
        <v>2541.897097</v>
      </c>
      <c r="H30" s="11">
        <v>3536.5811330000001</v>
      </c>
      <c r="I30" s="11">
        <f>I29*$B$31</f>
        <v>3703.9551673397505</v>
      </c>
    </row>
    <row r="31" spans="1:47" x14ac:dyDescent="0.25">
      <c r="A31" s="1" t="s">
        <v>119</v>
      </c>
      <c r="B31" s="2">
        <v>0.8</v>
      </c>
      <c r="E31" t="s">
        <v>120</v>
      </c>
      <c r="F31" s="21">
        <f>F30/$F30</f>
        <v>1</v>
      </c>
      <c r="G31" s="21">
        <f>G30/$F30</f>
        <v>1.2269902907843782</v>
      </c>
      <c r="H31" s="21">
        <f>H30/$F30</f>
        <v>1.7071307559553091</v>
      </c>
      <c r="I31" s="21">
        <f>I30/$F30</f>
        <v>1.7879232928784845</v>
      </c>
    </row>
    <row r="32" spans="1:47" x14ac:dyDescent="0.25">
      <c r="A32" s="1" t="s">
        <v>121</v>
      </c>
      <c r="B32" s="14">
        <f>B30*B31*10^6*B29*10^-9</f>
        <v>109.816</v>
      </c>
      <c r="C32" t="s">
        <v>122</v>
      </c>
      <c r="E32" s="12" t="s">
        <v>123</v>
      </c>
      <c r="F32" s="13">
        <f>B23</f>
        <v>1</v>
      </c>
      <c r="G32" s="13">
        <f>L23</f>
        <v>1.2441309357056498</v>
      </c>
      <c r="H32" s="13">
        <f>V23</f>
        <v>1.452096590658527</v>
      </c>
      <c r="I32" s="13">
        <f>AF23</f>
        <v>0</v>
      </c>
    </row>
    <row r="33" spans="1:9" x14ac:dyDescent="0.25">
      <c r="A33" s="19" t="s">
        <v>124</v>
      </c>
      <c r="B33" s="20">
        <f>(B32-B22)/B32</f>
        <v>-2.0482746897841166E-2</v>
      </c>
      <c r="E33" t="s">
        <v>125</v>
      </c>
      <c r="F33" s="14">
        <f>B32</f>
        <v>109.816</v>
      </c>
      <c r="G33" s="14">
        <f>$F33*G32</f>
        <v>136.62548283545163</v>
      </c>
      <c r="H33" s="14">
        <f>$F33*H32</f>
        <v>159.46343919975681</v>
      </c>
      <c r="I33" s="14">
        <f>$F33*I32</f>
        <v>0</v>
      </c>
    </row>
    <row r="34" spans="1:9" x14ac:dyDescent="0.25">
      <c r="E34" t="s">
        <v>126</v>
      </c>
      <c r="F34" s="14">
        <f>F33*1000/F30</f>
        <v>53.008898720488716</v>
      </c>
      <c r="G34" s="14">
        <f>G33*1000/G30</f>
        <v>53.749415346789561</v>
      </c>
      <c r="H34" s="14">
        <f>H33*1000/H30</f>
        <v>45.089716085344733</v>
      </c>
      <c r="I34" s="14">
        <f>I33*1000/I30</f>
        <v>0</v>
      </c>
    </row>
    <row r="35" spans="1:9" x14ac:dyDescent="0.25">
      <c r="E35" t="s">
        <v>131</v>
      </c>
      <c r="F35">
        <f>B22*1000/F30</f>
        <v>54.094666576313777</v>
      </c>
      <c r="G35">
        <f>L22*1000/G30</f>
        <v>54.850351017244797</v>
      </c>
      <c r="H35">
        <f>V22*1000/H30</f>
        <v>46.013277327616365</v>
      </c>
    </row>
    <row r="36" spans="1:9" x14ac:dyDescent="0.25">
      <c r="A36" t="s">
        <v>127</v>
      </c>
      <c r="B36" t="s">
        <v>128</v>
      </c>
      <c r="C36" t="s">
        <v>98</v>
      </c>
      <c r="F36" s="1">
        <v>2018</v>
      </c>
      <c r="G36" s="1">
        <v>2030</v>
      </c>
      <c r="H36" s="1">
        <v>2040</v>
      </c>
      <c r="I36" s="1">
        <v>2050</v>
      </c>
    </row>
    <row r="37" spans="1:9" x14ac:dyDescent="0.25">
      <c r="A37" t="s">
        <v>129</v>
      </c>
      <c r="B37">
        <v>80</v>
      </c>
      <c r="C37">
        <v>80</v>
      </c>
    </row>
    <row r="39" spans="1:9" x14ac:dyDescent="0.25">
      <c r="A39" t="s">
        <v>130</v>
      </c>
      <c r="B39">
        <v>66</v>
      </c>
      <c r="C39">
        <v>2022</v>
      </c>
      <c r="I39">
        <f>32*3.3</f>
        <v>105.6</v>
      </c>
    </row>
    <row r="40" spans="1:9" x14ac:dyDescent="0.25">
      <c r="I40">
        <f>129+105</f>
        <v>234</v>
      </c>
    </row>
    <row r="41" spans="1:9" x14ac:dyDescent="0.25">
      <c r="B41" s="18"/>
      <c r="I41">
        <f>I40/3.7</f>
        <v>63.243243243243242</v>
      </c>
    </row>
    <row r="45" spans="1:9" x14ac:dyDescent="0.25">
      <c r="F45">
        <v>1.82</v>
      </c>
    </row>
    <row r="46" spans="1:9" x14ac:dyDescent="0.25">
      <c r="F46">
        <f>4630/2590</f>
        <v>1.7876447876447876</v>
      </c>
    </row>
    <row r="47" spans="1:9" x14ac:dyDescent="0.25">
      <c r="F47">
        <f>1.82/1.7876</f>
        <v>1.018124860147684</v>
      </c>
    </row>
    <row r="48" spans="1:9" x14ac:dyDescent="0.25">
      <c r="F48">
        <f>54/53</f>
        <v>1.0188679245283019</v>
      </c>
    </row>
    <row r="50" spans="1:1" x14ac:dyDescent="0.25">
      <c r="A50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50"/>
  <sheetViews>
    <sheetView topLeftCell="S1" workbookViewId="0">
      <selection activeCell="W15" sqref="W15:AU24"/>
    </sheetView>
  </sheetViews>
  <sheetFormatPr defaultRowHeight="15" x14ac:dyDescent="0.25"/>
  <cols>
    <col min="1" max="1" width="39.140625" customWidth="1"/>
    <col min="2" max="2" width="11.85546875" bestFit="1" customWidth="1"/>
  </cols>
  <sheetData>
    <row r="1" spans="1:47" x14ac:dyDescent="0.25">
      <c r="B1" s="2" t="s">
        <v>88</v>
      </c>
    </row>
    <row r="2" spans="1:47" x14ac:dyDescent="0.25">
      <c r="B2" s="3" t="s">
        <v>89</v>
      </c>
    </row>
    <row r="4" spans="1:47" x14ac:dyDescent="0.25">
      <c r="A4" s="16" t="s">
        <v>90</v>
      </c>
      <c r="B4" s="16"/>
      <c r="C4" s="16"/>
      <c r="D4" s="16"/>
      <c r="E4" s="16"/>
      <c r="F4" s="16"/>
      <c r="G4" s="16"/>
      <c r="H4" s="16"/>
      <c r="I4" s="16"/>
    </row>
    <row r="6" spans="1:47" x14ac:dyDescent="0.25">
      <c r="A6" t="s">
        <v>91</v>
      </c>
      <c r="B6" t="s">
        <v>92</v>
      </c>
    </row>
    <row r="8" spans="1:47" x14ac:dyDescent="0.25">
      <c r="A8" s="1" t="s">
        <v>93</v>
      </c>
      <c r="B8" s="6">
        <v>5.3999999999999999E-2</v>
      </c>
    </row>
    <row r="9" spans="1:47" x14ac:dyDescent="0.25">
      <c r="A9" s="1" t="s">
        <v>94</v>
      </c>
      <c r="B9" s="2">
        <v>42</v>
      </c>
      <c r="E9" t="s">
        <v>95</v>
      </c>
    </row>
    <row r="10" spans="1:47" x14ac:dyDescent="0.25">
      <c r="A10" s="1" t="s">
        <v>96</v>
      </c>
      <c r="B10" s="7">
        <f>1/B9</f>
        <v>2.3809523809523808E-2</v>
      </c>
      <c r="E10" t="s">
        <v>97</v>
      </c>
      <c r="F10" t="s">
        <v>98</v>
      </c>
      <c r="G10" t="s">
        <v>99</v>
      </c>
      <c r="H10" t="s">
        <v>100</v>
      </c>
    </row>
    <row r="11" spans="1:47" x14ac:dyDescent="0.25">
      <c r="A11" s="1" t="s">
        <v>101</v>
      </c>
      <c r="B11" s="10">
        <v>0.5</v>
      </c>
      <c r="E11">
        <v>40</v>
      </c>
      <c r="F11">
        <v>66</v>
      </c>
      <c r="G11">
        <v>80</v>
      </c>
      <c r="H11">
        <v>40</v>
      </c>
    </row>
    <row r="12" spans="1:47" x14ac:dyDescent="0.25">
      <c r="A12" s="1" t="s">
        <v>102</v>
      </c>
      <c r="B12" s="10">
        <v>0.01</v>
      </c>
    </row>
    <row r="13" spans="1:47" x14ac:dyDescent="0.25">
      <c r="A13" s="1" t="s">
        <v>103</v>
      </c>
      <c r="B13" s="2">
        <v>700</v>
      </c>
      <c r="C13" t="s">
        <v>104</v>
      </c>
    </row>
    <row r="15" spans="1:47" x14ac:dyDescent="0.25">
      <c r="A15" s="5" t="s">
        <v>104</v>
      </c>
      <c r="B15" s="5">
        <v>2020</v>
      </c>
      <c r="C15" s="5">
        <v>2021</v>
      </c>
      <c r="D15" s="5">
        <v>2022</v>
      </c>
      <c r="E15" s="5">
        <v>2023</v>
      </c>
      <c r="F15" s="5">
        <v>2024</v>
      </c>
      <c r="G15" s="5">
        <v>2025</v>
      </c>
      <c r="H15" s="5">
        <v>2026</v>
      </c>
      <c r="I15" s="5">
        <v>2027</v>
      </c>
      <c r="J15" s="5">
        <v>2028</v>
      </c>
      <c r="K15" s="5">
        <v>2029</v>
      </c>
      <c r="L15" s="5">
        <v>2030</v>
      </c>
      <c r="M15" s="5">
        <v>2031</v>
      </c>
      <c r="N15" s="5">
        <v>2032</v>
      </c>
      <c r="O15" s="5">
        <v>2033</v>
      </c>
      <c r="P15" s="5">
        <v>2034</v>
      </c>
      <c r="Q15" s="5">
        <v>2035</v>
      </c>
      <c r="R15" s="5">
        <v>2036</v>
      </c>
      <c r="S15" s="5">
        <v>2037</v>
      </c>
      <c r="T15" s="5">
        <v>2038</v>
      </c>
      <c r="U15" s="5">
        <v>2039</v>
      </c>
      <c r="V15" s="5">
        <v>2040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5" t="s">
        <v>105</v>
      </c>
      <c r="B16" s="3">
        <f>B13</f>
        <v>700</v>
      </c>
      <c r="C16" s="4">
        <f t="shared" ref="C16:AU16" si="0">B19</f>
        <v>712.33333333333337</v>
      </c>
      <c r="D16" s="4">
        <f t="shared" si="0"/>
        <v>727.3730158730159</v>
      </c>
      <c r="E16" s="4">
        <f t="shared" si="0"/>
        <v>745.05461073318224</v>
      </c>
      <c r="F16" s="4">
        <f t="shared" si="0"/>
        <v>763.31521523953506</v>
      </c>
      <c r="G16" s="4">
        <f t="shared" si="0"/>
        <v>785.14104344811756</v>
      </c>
      <c r="H16" s="4">
        <f t="shared" si="0"/>
        <v>826.44720908030524</v>
      </c>
      <c r="I16" s="4">
        <f t="shared" si="0"/>
        <v>853.5704197548597</v>
      </c>
      <c r="J16" s="4">
        <f t="shared" si="0"/>
        <v>880.04783969906771</v>
      </c>
      <c r="K16" s="4">
        <f t="shared" si="0"/>
        <v>905.89484488269932</v>
      </c>
      <c r="L16" s="4">
        <f t="shared" si="0"/>
        <v>931.12644518100637</v>
      </c>
      <c r="M16" s="4">
        <f t="shared" si="0"/>
        <v>955.75729309125848</v>
      </c>
      <c r="N16" s="4">
        <f t="shared" si="0"/>
        <v>980.38818897305532</v>
      </c>
      <c r="O16" s="4">
        <f t="shared" si="0"/>
        <v>1005.0190848548521</v>
      </c>
      <c r="P16" s="4">
        <f t="shared" si="0"/>
        <v>1029.6499807366488</v>
      </c>
      <c r="Q16" s="4">
        <f t="shared" si="0"/>
        <v>1054.2808766184455</v>
      </c>
      <c r="R16" s="4">
        <f t="shared" si="0"/>
        <v>1078.9117725002423</v>
      </c>
      <c r="S16" s="4">
        <f t="shared" si="0"/>
        <v>1103.542668382039</v>
      </c>
      <c r="T16" s="4">
        <f t="shared" si="0"/>
        <v>1128.1735642638357</v>
      </c>
      <c r="U16" s="4">
        <f t="shared" si="0"/>
        <v>1152.8044601456324</v>
      </c>
      <c r="V16" s="4">
        <f t="shared" si="0"/>
        <v>1177.4353560274292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x14ac:dyDescent="0.25">
      <c r="A17" s="5" t="s">
        <v>106</v>
      </c>
      <c r="B17" s="2">
        <v>29</v>
      </c>
      <c r="C17" s="2">
        <v>32</v>
      </c>
      <c r="D17" s="2">
        <v>35</v>
      </c>
      <c r="E17" s="2">
        <v>36</v>
      </c>
      <c r="F17" s="2">
        <v>40</v>
      </c>
      <c r="G17" s="2">
        <v>60</v>
      </c>
      <c r="H17" s="2">
        <v>46.800525176466493</v>
      </c>
      <c r="I17" s="2">
        <v>46.800525176466493</v>
      </c>
      <c r="J17" s="2">
        <v>46.800525176466493</v>
      </c>
      <c r="K17" s="2">
        <v>46.800525176466493</v>
      </c>
      <c r="L17" s="2">
        <v>46.800525176466493</v>
      </c>
      <c r="M17" s="2">
        <v>46.800573148011253</v>
      </c>
      <c r="N17" s="2">
        <v>46.800573148011253</v>
      </c>
      <c r="O17" s="2">
        <v>46.800573148011253</v>
      </c>
      <c r="P17" s="2">
        <v>46.800573148011253</v>
      </c>
      <c r="Q17" s="2">
        <v>46.800573148011253</v>
      </c>
      <c r="R17" s="2">
        <v>46.800573148011253</v>
      </c>
      <c r="S17" s="2">
        <v>46.800573148011253</v>
      </c>
      <c r="T17" s="2">
        <v>46.800573148011253</v>
      </c>
      <c r="U17" s="2">
        <v>46.800573148011253</v>
      </c>
      <c r="V17" s="2">
        <v>46.800573148011253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25">
      <c r="A18" s="5" t="s">
        <v>107</v>
      </c>
      <c r="B18" s="4">
        <f t="shared" ref="B18:L18" si="1">(B16*$B10)</f>
        <v>16.666666666666664</v>
      </c>
      <c r="C18" s="4">
        <f t="shared" si="1"/>
        <v>16.960317460317459</v>
      </c>
      <c r="D18" s="4">
        <f t="shared" si="1"/>
        <v>17.318405139833711</v>
      </c>
      <c r="E18" s="4">
        <f t="shared" si="1"/>
        <v>17.739395493647194</v>
      </c>
      <c r="F18" s="4">
        <f t="shared" si="1"/>
        <v>18.1741717914175</v>
      </c>
      <c r="G18" s="4">
        <f t="shared" si="1"/>
        <v>18.693834367812322</v>
      </c>
      <c r="H18" s="4">
        <f t="shared" si="1"/>
        <v>19.677314501912029</v>
      </c>
      <c r="I18" s="4">
        <f t="shared" si="1"/>
        <v>20.323105232258563</v>
      </c>
      <c r="J18" s="4">
        <f t="shared" si="1"/>
        <v>20.953519992834945</v>
      </c>
      <c r="K18" s="4">
        <f t="shared" si="1"/>
        <v>21.568924878159507</v>
      </c>
      <c r="L18" s="4">
        <f t="shared" si="1"/>
        <v>22.169677266214435</v>
      </c>
      <c r="M18" s="15">
        <f t="shared" ref="M18:AU18" si="2">L18</f>
        <v>22.169677266214435</v>
      </c>
      <c r="N18" s="15">
        <f t="shared" si="2"/>
        <v>22.169677266214435</v>
      </c>
      <c r="O18" s="15">
        <f t="shared" si="2"/>
        <v>22.169677266214435</v>
      </c>
      <c r="P18" s="15">
        <f t="shared" si="2"/>
        <v>22.169677266214435</v>
      </c>
      <c r="Q18" s="15">
        <f t="shared" si="2"/>
        <v>22.169677266214435</v>
      </c>
      <c r="R18" s="15">
        <f t="shared" si="2"/>
        <v>22.169677266214435</v>
      </c>
      <c r="S18" s="15">
        <f t="shared" si="2"/>
        <v>22.169677266214435</v>
      </c>
      <c r="T18" s="15">
        <f t="shared" si="2"/>
        <v>22.169677266214435</v>
      </c>
      <c r="U18" s="15">
        <f t="shared" si="2"/>
        <v>22.169677266214435</v>
      </c>
      <c r="V18" s="15">
        <f t="shared" si="2"/>
        <v>22.169677266214435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spans="1:47" x14ac:dyDescent="0.25">
      <c r="A19" s="5" t="s">
        <v>108</v>
      </c>
      <c r="B19" s="4">
        <f t="shared" ref="B19:AU19" si="3">B16+B17-B18</f>
        <v>712.33333333333337</v>
      </c>
      <c r="C19" s="4">
        <f t="shared" si="3"/>
        <v>727.3730158730159</v>
      </c>
      <c r="D19" s="4">
        <f t="shared" si="3"/>
        <v>745.05461073318224</v>
      </c>
      <c r="E19" s="4">
        <f t="shared" si="3"/>
        <v>763.31521523953506</v>
      </c>
      <c r="F19" s="4">
        <f t="shared" si="3"/>
        <v>785.14104344811756</v>
      </c>
      <c r="G19" s="4">
        <f t="shared" si="3"/>
        <v>826.44720908030524</v>
      </c>
      <c r="H19" s="4">
        <f t="shared" si="3"/>
        <v>853.5704197548597</v>
      </c>
      <c r="I19" s="4">
        <f t="shared" si="3"/>
        <v>880.04783969906771</v>
      </c>
      <c r="J19" s="4">
        <f t="shared" si="3"/>
        <v>905.89484488269932</v>
      </c>
      <c r="K19" s="4">
        <f t="shared" si="3"/>
        <v>931.12644518100637</v>
      </c>
      <c r="L19" s="4">
        <f t="shared" si="3"/>
        <v>955.75729309125848</v>
      </c>
      <c r="M19" s="4">
        <f t="shared" si="3"/>
        <v>980.38818897305532</v>
      </c>
      <c r="N19" s="4">
        <f t="shared" si="3"/>
        <v>1005.0190848548521</v>
      </c>
      <c r="O19" s="4">
        <f t="shared" si="3"/>
        <v>1029.6499807366488</v>
      </c>
      <c r="P19" s="4">
        <f t="shared" si="3"/>
        <v>1054.2808766184455</v>
      </c>
      <c r="Q19" s="4">
        <f t="shared" si="3"/>
        <v>1078.9117725002423</v>
      </c>
      <c r="R19" s="4">
        <f t="shared" si="3"/>
        <v>1103.542668382039</v>
      </c>
      <c r="S19" s="4">
        <f t="shared" si="3"/>
        <v>1128.1735642638357</v>
      </c>
      <c r="T19" s="4">
        <f t="shared" si="3"/>
        <v>1152.8044601456324</v>
      </c>
      <c r="U19" s="4">
        <f t="shared" si="3"/>
        <v>1177.4353560274292</v>
      </c>
      <c r="V19" s="4">
        <f t="shared" si="3"/>
        <v>1202.0662519092259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x14ac:dyDescent="0.25">
      <c r="A20" s="5" t="s">
        <v>109</v>
      </c>
      <c r="B20" s="4">
        <f t="shared" ref="B20:AU20" si="4">(B16+B17)*$B8+B18</f>
        <v>56.032666666666664</v>
      </c>
      <c r="C20" s="4">
        <f t="shared" si="4"/>
        <v>57.154317460317458</v>
      </c>
      <c r="D20" s="4">
        <f t="shared" si="4"/>
        <v>58.486547996976569</v>
      </c>
      <c r="E20" s="4">
        <f t="shared" si="4"/>
        <v>59.916344473239036</v>
      </c>
      <c r="F20" s="4">
        <f t="shared" si="4"/>
        <v>61.553193414352393</v>
      </c>
      <c r="G20" s="4">
        <f t="shared" si="4"/>
        <v>64.331450714010671</v>
      </c>
      <c r="H20" s="4">
        <f t="shared" si="4"/>
        <v>66.832692151777707</v>
      </c>
      <c r="I20" s="4">
        <f t="shared" si="4"/>
        <v>68.943136258550169</v>
      </c>
      <c r="J20" s="4">
        <f t="shared" si="4"/>
        <v>71.00333169611379</v>
      </c>
      <c r="K20" s="4">
        <f t="shared" si="4"/>
        <v>73.014474861354472</v>
      </c>
      <c r="L20" s="4">
        <f t="shared" si="4"/>
        <v>74.977733665517974</v>
      </c>
      <c r="M20" s="4">
        <f t="shared" si="4"/>
        <v>76.307802043134998</v>
      </c>
      <c r="N20" s="4">
        <f t="shared" si="4"/>
        <v>77.637870420752023</v>
      </c>
      <c r="O20" s="4">
        <f t="shared" si="4"/>
        <v>78.967938798369048</v>
      </c>
      <c r="P20" s="4">
        <f t="shared" si="4"/>
        <v>80.298007175986072</v>
      </c>
      <c r="Q20" s="4">
        <f t="shared" si="4"/>
        <v>81.628075553603097</v>
      </c>
      <c r="R20" s="4">
        <f t="shared" si="4"/>
        <v>82.958143931220121</v>
      </c>
      <c r="S20" s="4">
        <f t="shared" si="4"/>
        <v>84.288212308837132</v>
      </c>
      <c r="T20" s="4">
        <f t="shared" si="4"/>
        <v>85.61828068645417</v>
      </c>
      <c r="U20" s="4">
        <f t="shared" si="4"/>
        <v>86.948349064071195</v>
      </c>
      <c r="V20" s="4">
        <f t="shared" si="4"/>
        <v>88.278417441688219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x14ac:dyDescent="0.25">
      <c r="A21" s="5" t="s">
        <v>110</v>
      </c>
      <c r="B21" s="11">
        <f>B20*(1/B11-1)</f>
        <v>56.032666666666664</v>
      </c>
      <c r="C21" s="4">
        <f t="shared" ref="C21:AU21" si="5">$B21*(1+$B$12)^(C15-$B15)</f>
        <v>56.592993333333332</v>
      </c>
      <c r="D21" s="4">
        <f t="shared" si="5"/>
        <v>57.158923266666662</v>
      </c>
      <c r="E21" s="4">
        <f t="shared" si="5"/>
        <v>57.730512499333322</v>
      </c>
      <c r="F21" s="4">
        <f t="shared" si="5"/>
        <v>58.307817624326667</v>
      </c>
      <c r="G21" s="4">
        <f t="shared" si="5"/>
        <v>58.890895800569929</v>
      </c>
      <c r="H21" s="4">
        <f t="shared" si="5"/>
        <v>59.479804758575639</v>
      </c>
      <c r="I21" s="4">
        <f t="shared" si="5"/>
        <v>60.07460280616138</v>
      </c>
      <c r="J21" s="4">
        <f t="shared" si="5"/>
        <v>60.675348834223009</v>
      </c>
      <c r="K21" s="4">
        <f t="shared" si="5"/>
        <v>61.282102322565244</v>
      </c>
      <c r="L21" s="4">
        <f t="shared" si="5"/>
        <v>61.894923345790893</v>
      </c>
      <c r="M21" s="4">
        <f t="shared" si="5"/>
        <v>62.51387257924879</v>
      </c>
      <c r="N21" s="4">
        <f t="shared" si="5"/>
        <v>63.139011305041279</v>
      </c>
      <c r="O21" s="4">
        <f t="shared" si="5"/>
        <v>63.770401418091694</v>
      </c>
      <c r="P21" s="4">
        <f t="shared" si="5"/>
        <v>64.40810543227262</v>
      </c>
      <c r="Q21" s="4">
        <f t="shared" si="5"/>
        <v>65.052186486595332</v>
      </c>
      <c r="R21" s="4">
        <f t="shared" si="5"/>
        <v>65.702708351461297</v>
      </c>
      <c r="S21" s="4">
        <f t="shared" si="5"/>
        <v>66.359735434975917</v>
      </c>
      <c r="T21" s="4">
        <f t="shared" si="5"/>
        <v>67.023332789325679</v>
      </c>
      <c r="U21" s="4">
        <f t="shared" si="5"/>
        <v>67.693566117218921</v>
      </c>
      <c r="V21" s="4">
        <f t="shared" si="5"/>
        <v>68.370501778391116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x14ac:dyDescent="0.25">
      <c r="A22" s="5" t="s">
        <v>111</v>
      </c>
      <c r="B22" s="4">
        <f t="shared" ref="B22:AU22" si="6">B20+B21</f>
        <v>112.06533333333333</v>
      </c>
      <c r="C22" s="4">
        <f t="shared" si="6"/>
        <v>113.7473107936508</v>
      </c>
      <c r="D22" s="4">
        <f t="shared" si="6"/>
        <v>115.64547126364323</v>
      </c>
      <c r="E22" s="4">
        <f t="shared" si="6"/>
        <v>117.64685697257235</v>
      </c>
      <c r="F22" s="4">
        <f t="shared" si="6"/>
        <v>119.86101103867907</v>
      </c>
      <c r="G22" s="4">
        <f t="shared" si="6"/>
        <v>123.22234651458061</v>
      </c>
      <c r="H22" s="4">
        <f t="shared" si="6"/>
        <v>126.31249691035335</v>
      </c>
      <c r="I22" s="4">
        <f t="shared" si="6"/>
        <v>129.01773906471155</v>
      </c>
      <c r="J22" s="4">
        <f t="shared" si="6"/>
        <v>131.67868053033681</v>
      </c>
      <c r="K22" s="4">
        <f t="shared" si="6"/>
        <v>134.29657718391971</v>
      </c>
      <c r="L22" s="4">
        <f t="shared" si="6"/>
        <v>136.87265701130886</v>
      </c>
      <c r="M22" s="4">
        <f t="shared" si="6"/>
        <v>138.8216746223838</v>
      </c>
      <c r="N22" s="4">
        <f t="shared" si="6"/>
        <v>140.77688172579332</v>
      </c>
      <c r="O22" s="4">
        <f t="shared" si="6"/>
        <v>142.73834021646076</v>
      </c>
      <c r="P22" s="4">
        <f t="shared" si="6"/>
        <v>144.70611260825871</v>
      </c>
      <c r="Q22" s="4">
        <f t="shared" si="6"/>
        <v>146.68026204019844</v>
      </c>
      <c r="R22" s="4">
        <f t="shared" si="6"/>
        <v>148.66085228268142</v>
      </c>
      <c r="S22" s="4">
        <f t="shared" si="6"/>
        <v>150.64794774381306</v>
      </c>
      <c r="T22" s="4">
        <f t="shared" si="6"/>
        <v>152.64161347577985</v>
      </c>
      <c r="U22" s="4">
        <f t="shared" si="6"/>
        <v>154.64191518129013</v>
      </c>
      <c r="V22" s="4">
        <f t="shared" si="6"/>
        <v>156.64891922007934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x14ac:dyDescent="0.25">
      <c r="A23" s="8" t="s">
        <v>112</v>
      </c>
      <c r="B23" s="9">
        <f t="shared" ref="B23:AU23" si="7">B22/$B22</f>
        <v>1</v>
      </c>
      <c r="C23" s="9">
        <f t="shared" si="7"/>
        <v>1.0150089007036145</v>
      </c>
      <c r="D23" s="9">
        <f t="shared" si="7"/>
        <v>1.0319468815540034</v>
      </c>
      <c r="E23" s="9">
        <f t="shared" si="7"/>
        <v>1.0498059790054524</v>
      </c>
      <c r="F23" s="9">
        <f t="shared" si="7"/>
        <v>1.0695636864092293</v>
      </c>
      <c r="G23" s="9">
        <f t="shared" si="7"/>
        <v>1.0995581135520407</v>
      </c>
      <c r="H23" s="9">
        <f t="shared" si="7"/>
        <v>1.1271326569354188</v>
      </c>
      <c r="I23" s="9">
        <f t="shared" si="7"/>
        <v>1.1512725231535612</v>
      </c>
      <c r="J23" s="9">
        <f t="shared" si="7"/>
        <v>1.1750170781062548</v>
      </c>
      <c r="K23" s="9">
        <f t="shared" si="7"/>
        <v>1.1983775284410259</v>
      </c>
      <c r="L23" s="9">
        <f t="shared" si="7"/>
        <v>1.2213648319252062</v>
      </c>
      <c r="M23" s="9">
        <f t="shared" si="7"/>
        <v>1.2387566296658836</v>
      </c>
      <c r="N23" s="9">
        <f t="shared" si="7"/>
        <v>1.2562036585128318</v>
      </c>
      <c r="O23" s="9">
        <f t="shared" si="7"/>
        <v>1.2737064707771131</v>
      </c>
      <c r="P23" s="9">
        <f t="shared" si="7"/>
        <v>1.291265624292901</v>
      </c>
      <c r="Q23" s="9">
        <f t="shared" si="7"/>
        <v>1.3088816824727103</v>
      </c>
      <c r="R23" s="9">
        <f t="shared" si="7"/>
        <v>1.3265552143631818</v>
      </c>
      <c r="S23" s="9">
        <f t="shared" si="7"/>
        <v>1.3442867947014219</v>
      </c>
      <c r="T23" s="9">
        <f t="shared" si="7"/>
        <v>1.3620770039719079</v>
      </c>
      <c r="U23" s="9">
        <f t="shared" si="7"/>
        <v>1.3799264284639627</v>
      </c>
      <c r="V23" s="9">
        <f t="shared" si="7"/>
        <v>1.3978356603298017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B24" s="12">
        <f t="shared" ref="B24:AU24" si="8">B20/B22</f>
        <v>0.5</v>
      </c>
      <c r="C24" s="12">
        <f t="shared" si="8"/>
        <v>0.50246741713306264</v>
      </c>
      <c r="D24" s="12">
        <f t="shared" si="8"/>
        <v>0.50574006364366508</v>
      </c>
      <c r="E24" s="12">
        <f t="shared" si="8"/>
        <v>0.50928980182792016</v>
      </c>
      <c r="F24" s="12">
        <f t="shared" si="8"/>
        <v>0.51353807948849373</v>
      </c>
      <c r="G24" s="12">
        <f t="shared" si="8"/>
        <v>0.52207616989665495</v>
      </c>
      <c r="H24" s="12">
        <f t="shared" si="8"/>
        <v>0.52910593794381477</v>
      </c>
      <c r="I24" s="12">
        <f t="shared" si="8"/>
        <v>0.5343694344540505</v>
      </c>
      <c r="J24" s="12">
        <f t="shared" si="8"/>
        <v>0.53921660978183694</v>
      </c>
      <c r="K24" s="12">
        <f t="shared" si="8"/>
        <v>0.54368083232203934</v>
      </c>
      <c r="L24" s="12">
        <f t="shared" si="8"/>
        <v>0.54779190601467664</v>
      </c>
      <c r="M24" s="12">
        <f t="shared" si="8"/>
        <v>0.5496821894038082</v>
      </c>
      <c r="N24" s="12">
        <f t="shared" si="8"/>
        <v>0.55149588106359593</v>
      </c>
      <c r="O24" s="12">
        <f t="shared" si="8"/>
        <v>0.55323565258370833</v>
      </c>
      <c r="P24" s="12">
        <f t="shared" si="8"/>
        <v>0.55490404467822929</v>
      </c>
      <c r="Q24" s="12">
        <f t="shared" si="8"/>
        <v>0.55650347509764142</v>
      </c>
      <c r="R24" s="12">
        <f t="shared" si="8"/>
        <v>0.55803624597465407</v>
      </c>
      <c r="S24" s="12">
        <f t="shared" si="8"/>
        <v>0.55950455065059956</v>
      </c>
      <c r="T24" s="12">
        <f t="shared" si="8"/>
        <v>0.56091048002476407</v>
      </c>
      <c r="U24" s="12">
        <f t="shared" si="8"/>
        <v>0.56225602846511391</v>
      </c>
      <c r="V24" s="12">
        <f t="shared" si="8"/>
        <v>0.56354309931538071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7" spans="1:47" x14ac:dyDescent="0.25">
      <c r="A27" s="16" t="s">
        <v>113</v>
      </c>
      <c r="B27" s="17"/>
      <c r="C27" s="17"/>
      <c r="D27" s="17"/>
      <c r="E27" s="17"/>
      <c r="F27" s="17"/>
      <c r="G27" s="17"/>
      <c r="H27" s="17"/>
      <c r="I27" s="17"/>
    </row>
    <row r="28" spans="1:47" x14ac:dyDescent="0.25">
      <c r="B28" s="12"/>
      <c r="C28" s="12"/>
      <c r="D28" s="12"/>
      <c r="E28" s="1"/>
      <c r="F28" s="1">
        <v>2020</v>
      </c>
      <c r="G28" s="1">
        <v>2030</v>
      </c>
      <c r="H28" s="1">
        <v>2040</v>
      </c>
      <c r="I28" s="1">
        <v>2050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47" x14ac:dyDescent="0.25">
      <c r="A29" s="1" t="s">
        <v>114</v>
      </c>
      <c r="B29" s="11">
        <v>53</v>
      </c>
      <c r="C29" s="12" t="s">
        <v>115</v>
      </c>
      <c r="D29" s="12"/>
      <c r="E29" s="12" t="s">
        <v>116</v>
      </c>
      <c r="F29" s="11">
        <v>2589.5652110000001</v>
      </c>
      <c r="G29" s="11">
        <v>2364.0228259999999</v>
      </c>
      <c r="H29" s="11">
        <v>3331.3120530000001</v>
      </c>
      <c r="I29" s="11">
        <v>4629.9439591746877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47" x14ac:dyDescent="0.25">
      <c r="A30" s="1" t="s">
        <v>117</v>
      </c>
      <c r="B30" s="2">
        <v>2590</v>
      </c>
      <c r="C30" t="s">
        <v>116</v>
      </c>
      <c r="E30" t="s">
        <v>118</v>
      </c>
      <c r="F30" s="11">
        <f>F29*$B$31</f>
        <v>2071.6521688000003</v>
      </c>
      <c r="G30" s="11">
        <v>2364.0228259999999</v>
      </c>
      <c r="H30" s="11">
        <v>3331.3120530000001</v>
      </c>
      <c r="I30" s="11">
        <f>I29*$B$31</f>
        <v>3703.9551673397505</v>
      </c>
    </row>
    <row r="31" spans="1:47" x14ac:dyDescent="0.25">
      <c r="A31" s="1" t="s">
        <v>119</v>
      </c>
      <c r="B31" s="2">
        <v>0.8</v>
      </c>
      <c r="E31" t="s">
        <v>120</v>
      </c>
      <c r="F31" s="21">
        <f>F30/$F30</f>
        <v>1</v>
      </c>
      <c r="G31" s="21">
        <f>G30/$F30</f>
        <v>1.1411292212096371</v>
      </c>
      <c r="H31" s="21">
        <f>H30/$F30</f>
        <v>1.6080460335818125</v>
      </c>
      <c r="I31" s="21">
        <f>I30/$F30</f>
        <v>1.7879232928784845</v>
      </c>
    </row>
    <row r="32" spans="1:47" x14ac:dyDescent="0.25">
      <c r="A32" s="1" t="s">
        <v>121</v>
      </c>
      <c r="B32" s="14">
        <f>B30*B31*10^6*B29*10^-9</f>
        <v>109.816</v>
      </c>
      <c r="C32" t="s">
        <v>122</v>
      </c>
      <c r="E32" s="12" t="s">
        <v>123</v>
      </c>
      <c r="F32" s="13">
        <f>B23</f>
        <v>1</v>
      </c>
      <c r="G32" s="13">
        <f>L23</f>
        <v>1.2213648319252062</v>
      </c>
      <c r="H32" s="13">
        <f>V23</f>
        <v>1.3978356603298017</v>
      </c>
      <c r="I32" s="13">
        <f>AF23</f>
        <v>0</v>
      </c>
    </row>
    <row r="33" spans="1:9" x14ac:dyDescent="0.25">
      <c r="A33" s="19" t="s">
        <v>124</v>
      </c>
      <c r="B33" s="20">
        <f>(B32-B22)/B32</f>
        <v>-2.0482746897841166E-2</v>
      </c>
      <c r="E33" t="s">
        <v>125</v>
      </c>
      <c r="F33" s="14">
        <f>B32</f>
        <v>109.816</v>
      </c>
      <c r="G33" s="14">
        <f>$F33*G32</f>
        <v>134.12540038269844</v>
      </c>
      <c r="H33" s="14">
        <f>$F33*H32</f>
        <v>153.50472087477749</v>
      </c>
      <c r="I33" s="14">
        <f>$F33*I32</f>
        <v>0</v>
      </c>
    </row>
    <row r="34" spans="1:9" x14ac:dyDescent="0.25">
      <c r="E34" t="s">
        <v>126</v>
      </c>
      <c r="F34" s="14">
        <f>F33*1000/F30</f>
        <v>53.008898720488716</v>
      </c>
      <c r="G34" s="14">
        <f>G33*1000/G30</f>
        <v>56.7360851627828</v>
      </c>
      <c r="H34" s="14">
        <f>H33*1000/H30</f>
        <v>46.079358052494491</v>
      </c>
      <c r="I34" s="14">
        <f>I33*1000/I30</f>
        <v>0</v>
      </c>
    </row>
    <row r="35" spans="1:9" x14ac:dyDescent="0.25">
      <c r="E35" t="s">
        <v>131</v>
      </c>
      <c r="F35">
        <f>B22*1000/F30</f>
        <v>54.094666576313777</v>
      </c>
      <c r="G35">
        <f>L22*1000/G30</f>
        <v>57.898196035146427</v>
      </c>
      <c r="H35">
        <f>V22*1000/H30</f>
        <v>47.023189880698737</v>
      </c>
    </row>
    <row r="36" spans="1:9" x14ac:dyDescent="0.25">
      <c r="A36" t="s">
        <v>127</v>
      </c>
      <c r="B36" t="s">
        <v>128</v>
      </c>
      <c r="C36" t="s">
        <v>98</v>
      </c>
      <c r="F36" s="1">
        <v>2018</v>
      </c>
      <c r="G36" s="1">
        <v>2030</v>
      </c>
      <c r="H36" s="1">
        <v>2040</v>
      </c>
      <c r="I36" s="1">
        <v>2050</v>
      </c>
    </row>
    <row r="37" spans="1:9" x14ac:dyDescent="0.25">
      <c r="A37" t="s">
        <v>129</v>
      </c>
      <c r="B37">
        <v>80</v>
      </c>
      <c r="C37">
        <v>80</v>
      </c>
    </row>
    <row r="39" spans="1:9" x14ac:dyDescent="0.25">
      <c r="A39" t="s">
        <v>130</v>
      </c>
      <c r="B39">
        <v>66</v>
      </c>
      <c r="C39">
        <v>2022</v>
      </c>
      <c r="I39">
        <f>32*3.3</f>
        <v>105.6</v>
      </c>
    </row>
    <row r="40" spans="1:9" x14ac:dyDescent="0.25">
      <c r="I40">
        <f>129+105</f>
        <v>234</v>
      </c>
    </row>
    <row r="41" spans="1:9" x14ac:dyDescent="0.25">
      <c r="B41" s="18"/>
      <c r="I41">
        <f>I40/3.7</f>
        <v>63.243243243243242</v>
      </c>
    </row>
    <row r="45" spans="1:9" x14ac:dyDescent="0.25">
      <c r="F45">
        <v>1.82</v>
      </c>
    </row>
    <row r="46" spans="1:9" x14ac:dyDescent="0.25">
      <c r="F46">
        <f>4630/2590</f>
        <v>1.7876447876447876</v>
      </c>
    </row>
    <row r="47" spans="1:9" x14ac:dyDescent="0.25">
      <c r="F47">
        <f>1.82/1.7876</f>
        <v>1.018124860147684</v>
      </c>
    </row>
    <row r="48" spans="1:9" x14ac:dyDescent="0.25">
      <c r="F48">
        <f>54/53</f>
        <v>1.0188679245283019</v>
      </c>
    </row>
    <row r="50" spans="1:1" x14ac:dyDescent="0.25">
      <c r="A50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50"/>
  <sheetViews>
    <sheetView topLeftCell="S10" workbookViewId="0">
      <selection activeCell="W15" sqref="W15:AU24"/>
    </sheetView>
  </sheetViews>
  <sheetFormatPr defaultRowHeight="15" x14ac:dyDescent="0.25"/>
  <cols>
    <col min="1" max="1" width="39.140625" customWidth="1"/>
    <col min="2" max="2" width="11.85546875" bestFit="1" customWidth="1"/>
  </cols>
  <sheetData>
    <row r="1" spans="1:47" x14ac:dyDescent="0.25">
      <c r="B1" s="2" t="s">
        <v>88</v>
      </c>
    </row>
    <row r="2" spans="1:47" x14ac:dyDescent="0.25">
      <c r="B2" s="3" t="s">
        <v>89</v>
      </c>
    </row>
    <row r="4" spans="1:47" x14ac:dyDescent="0.25">
      <c r="A4" s="16" t="s">
        <v>90</v>
      </c>
      <c r="B4" s="16"/>
      <c r="C4" s="16"/>
      <c r="D4" s="16"/>
      <c r="E4" s="16"/>
      <c r="F4" s="16"/>
      <c r="G4" s="16"/>
      <c r="H4" s="16"/>
      <c r="I4" s="16"/>
    </row>
    <row r="6" spans="1:47" x14ac:dyDescent="0.25">
      <c r="A6" t="s">
        <v>91</v>
      </c>
      <c r="B6" t="s">
        <v>92</v>
      </c>
    </row>
    <row r="8" spans="1:47" x14ac:dyDescent="0.25">
      <c r="A8" s="1" t="s">
        <v>93</v>
      </c>
      <c r="B8" s="6">
        <v>5.3999999999999999E-2</v>
      </c>
    </row>
    <row r="9" spans="1:47" x14ac:dyDescent="0.25">
      <c r="A9" s="1" t="s">
        <v>94</v>
      </c>
      <c r="B9" s="2">
        <v>42</v>
      </c>
      <c r="E9" t="s">
        <v>95</v>
      </c>
    </row>
    <row r="10" spans="1:47" x14ac:dyDescent="0.25">
      <c r="A10" s="1" t="s">
        <v>96</v>
      </c>
      <c r="B10" s="7">
        <f>1/B9</f>
        <v>2.3809523809523808E-2</v>
      </c>
      <c r="E10" t="s">
        <v>97</v>
      </c>
      <c r="F10" t="s">
        <v>98</v>
      </c>
      <c r="G10" t="s">
        <v>99</v>
      </c>
      <c r="H10" t="s">
        <v>100</v>
      </c>
    </row>
    <row r="11" spans="1:47" x14ac:dyDescent="0.25">
      <c r="A11" s="1" t="s">
        <v>101</v>
      </c>
      <c r="B11" s="10">
        <v>0.5</v>
      </c>
      <c r="E11">
        <v>40</v>
      </c>
      <c r="F11">
        <v>66</v>
      </c>
      <c r="G11">
        <v>80</v>
      </c>
      <c r="H11">
        <v>40</v>
      </c>
    </row>
    <row r="12" spans="1:47" x14ac:dyDescent="0.25">
      <c r="A12" s="1" t="s">
        <v>102</v>
      </c>
      <c r="B12" s="10">
        <v>0.01</v>
      </c>
    </row>
    <row r="13" spans="1:47" x14ac:dyDescent="0.25">
      <c r="A13" s="1" t="s">
        <v>103</v>
      </c>
      <c r="B13" s="2">
        <v>700</v>
      </c>
      <c r="C13" t="s">
        <v>104</v>
      </c>
    </row>
    <row r="15" spans="1:47" x14ac:dyDescent="0.25">
      <c r="A15" s="5" t="s">
        <v>104</v>
      </c>
      <c r="B15" s="5">
        <v>2020</v>
      </c>
      <c r="C15" s="5">
        <v>2021</v>
      </c>
      <c r="D15" s="5">
        <v>2022</v>
      </c>
      <c r="E15" s="5">
        <v>2023</v>
      </c>
      <c r="F15" s="5">
        <v>2024</v>
      </c>
      <c r="G15" s="5">
        <v>2025</v>
      </c>
      <c r="H15" s="5">
        <v>2026</v>
      </c>
      <c r="I15" s="5">
        <v>2027</v>
      </c>
      <c r="J15" s="5">
        <v>2028</v>
      </c>
      <c r="K15" s="5">
        <v>2029</v>
      </c>
      <c r="L15" s="5">
        <v>2030</v>
      </c>
      <c r="M15" s="5">
        <v>2031</v>
      </c>
      <c r="N15" s="5">
        <v>2032</v>
      </c>
      <c r="O15" s="5">
        <v>2033</v>
      </c>
      <c r="P15" s="5">
        <v>2034</v>
      </c>
      <c r="Q15" s="5">
        <v>2035</v>
      </c>
      <c r="R15" s="5">
        <v>2036</v>
      </c>
      <c r="S15" s="5">
        <v>2037</v>
      </c>
      <c r="T15" s="5">
        <v>2038</v>
      </c>
      <c r="U15" s="5">
        <v>2039</v>
      </c>
      <c r="V15" s="5">
        <v>2040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5" t="s">
        <v>105</v>
      </c>
      <c r="B16" s="3">
        <f>B13</f>
        <v>700</v>
      </c>
      <c r="C16" s="4">
        <f t="shared" ref="C16:AU16" si="0">B19</f>
        <v>712.33333333333337</v>
      </c>
      <c r="D16" s="4">
        <f t="shared" si="0"/>
        <v>727.3730158730159</v>
      </c>
      <c r="E16" s="4">
        <f t="shared" si="0"/>
        <v>745.05461073318224</v>
      </c>
      <c r="F16" s="4">
        <f t="shared" si="0"/>
        <v>763.31521523953506</v>
      </c>
      <c r="G16" s="4">
        <f t="shared" si="0"/>
        <v>785.14104344811756</v>
      </c>
      <c r="H16" s="4">
        <f t="shared" si="0"/>
        <v>826.44720908030524</v>
      </c>
      <c r="I16" s="4">
        <f t="shared" si="0"/>
        <v>842.77011876492372</v>
      </c>
      <c r="J16" s="4">
        <f t="shared" si="0"/>
        <v>858.70438774276556</v>
      </c>
      <c r="K16" s="4">
        <f t="shared" si="0"/>
        <v>874.25926936399219</v>
      </c>
      <c r="L16" s="4">
        <f t="shared" si="0"/>
        <v>889.4437966609039</v>
      </c>
      <c r="M16" s="4">
        <f t="shared" si="0"/>
        <v>904.26678759360345</v>
      </c>
      <c r="N16" s="4">
        <f t="shared" si="0"/>
        <v>919.08845356957966</v>
      </c>
      <c r="O16" s="4">
        <f t="shared" si="0"/>
        <v>933.91011954555586</v>
      </c>
      <c r="P16" s="4">
        <f t="shared" si="0"/>
        <v>948.73178552153206</v>
      </c>
      <c r="Q16" s="4">
        <f t="shared" si="0"/>
        <v>963.55345149750826</v>
      </c>
      <c r="R16" s="4">
        <f t="shared" si="0"/>
        <v>978.37511747348447</v>
      </c>
      <c r="S16" s="4">
        <f t="shared" si="0"/>
        <v>993.19678344946067</v>
      </c>
      <c r="T16" s="4">
        <f t="shared" si="0"/>
        <v>1008.0184494254368</v>
      </c>
      <c r="U16" s="4">
        <f t="shared" si="0"/>
        <v>1022.840115401413</v>
      </c>
      <c r="V16" s="4">
        <f t="shared" si="0"/>
        <v>1037.6617813773892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x14ac:dyDescent="0.25">
      <c r="A17" s="5" t="s">
        <v>106</v>
      </c>
      <c r="B17" s="2">
        <v>29</v>
      </c>
      <c r="C17" s="2">
        <v>32</v>
      </c>
      <c r="D17" s="2">
        <v>35</v>
      </c>
      <c r="E17" s="2">
        <v>36</v>
      </c>
      <c r="F17" s="2">
        <v>40</v>
      </c>
      <c r="G17" s="2">
        <v>60</v>
      </c>
      <c r="H17" s="2">
        <v>36.000224186530531</v>
      </c>
      <c r="I17" s="2">
        <v>36.000224186530531</v>
      </c>
      <c r="J17" s="2">
        <v>36.000224186530531</v>
      </c>
      <c r="K17" s="2">
        <v>36.000224186530531</v>
      </c>
      <c r="L17" s="2">
        <v>36.000224186530531</v>
      </c>
      <c r="M17" s="2">
        <v>35.998899229807158</v>
      </c>
      <c r="N17" s="2">
        <v>35.998899229807158</v>
      </c>
      <c r="O17" s="2">
        <v>35.998899229807158</v>
      </c>
      <c r="P17" s="2">
        <v>35.998899229807158</v>
      </c>
      <c r="Q17" s="2">
        <v>35.998899229807158</v>
      </c>
      <c r="R17" s="2">
        <v>35.998899229807158</v>
      </c>
      <c r="S17" s="2">
        <v>35.998899229807158</v>
      </c>
      <c r="T17" s="2">
        <v>35.998899229807158</v>
      </c>
      <c r="U17" s="2">
        <v>35.998899229807158</v>
      </c>
      <c r="V17" s="2">
        <v>35.998899229807158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25">
      <c r="A18" s="5" t="s">
        <v>107</v>
      </c>
      <c r="B18" s="4">
        <f t="shared" ref="B18:L18" si="1">(B16*$B10)</f>
        <v>16.666666666666664</v>
      </c>
      <c r="C18" s="4">
        <f t="shared" si="1"/>
        <v>16.960317460317459</v>
      </c>
      <c r="D18" s="4">
        <f t="shared" si="1"/>
        <v>17.318405139833711</v>
      </c>
      <c r="E18" s="4">
        <f t="shared" si="1"/>
        <v>17.739395493647194</v>
      </c>
      <c r="F18" s="4">
        <f t="shared" si="1"/>
        <v>18.1741717914175</v>
      </c>
      <c r="G18" s="4">
        <f t="shared" si="1"/>
        <v>18.693834367812322</v>
      </c>
      <c r="H18" s="4">
        <f t="shared" si="1"/>
        <v>19.677314501912029</v>
      </c>
      <c r="I18" s="4">
        <f t="shared" si="1"/>
        <v>20.06595520868866</v>
      </c>
      <c r="J18" s="4">
        <f t="shared" si="1"/>
        <v>20.445342565303942</v>
      </c>
      <c r="K18" s="4">
        <f t="shared" si="1"/>
        <v>20.815696889618859</v>
      </c>
      <c r="L18" s="4">
        <f t="shared" si="1"/>
        <v>21.177233253831044</v>
      </c>
      <c r="M18" s="15">
        <f t="shared" ref="M18:AU18" si="2">L18</f>
        <v>21.177233253831044</v>
      </c>
      <c r="N18" s="15">
        <f t="shared" si="2"/>
        <v>21.177233253831044</v>
      </c>
      <c r="O18" s="15">
        <f t="shared" si="2"/>
        <v>21.177233253831044</v>
      </c>
      <c r="P18" s="15">
        <f t="shared" si="2"/>
        <v>21.177233253831044</v>
      </c>
      <c r="Q18" s="15">
        <f t="shared" si="2"/>
        <v>21.177233253831044</v>
      </c>
      <c r="R18" s="15">
        <f t="shared" si="2"/>
        <v>21.177233253831044</v>
      </c>
      <c r="S18" s="15">
        <f t="shared" si="2"/>
        <v>21.177233253831044</v>
      </c>
      <c r="T18" s="15">
        <f t="shared" si="2"/>
        <v>21.177233253831044</v>
      </c>
      <c r="U18" s="15">
        <f t="shared" si="2"/>
        <v>21.177233253831044</v>
      </c>
      <c r="V18" s="15">
        <f t="shared" si="2"/>
        <v>21.177233253831044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spans="1:47" x14ac:dyDescent="0.25">
      <c r="A19" s="5" t="s">
        <v>108</v>
      </c>
      <c r="B19" s="4">
        <f t="shared" ref="B19:AU19" si="3">B16+B17-B18</f>
        <v>712.33333333333337</v>
      </c>
      <c r="C19" s="4">
        <f t="shared" si="3"/>
        <v>727.3730158730159</v>
      </c>
      <c r="D19" s="4">
        <f t="shared" si="3"/>
        <v>745.05461073318224</v>
      </c>
      <c r="E19" s="4">
        <f t="shared" si="3"/>
        <v>763.31521523953506</v>
      </c>
      <c r="F19" s="4">
        <f t="shared" si="3"/>
        <v>785.14104344811756</v>
      </c>
      <c r="G19" s="4">
        <f t="shared" si="3"/>
        <v>826.44720908030524</v>
      </c>
      <c r="H19" s="4">
        <f t="shared" si="3"/>
        <v>842.77011876492372</v>
      </c>
      <c r="I19" s="4">
        <f t="shared" si="3"/>
        <v>858.70438774276556</v>
      </c>
      <c r="J19" s="4">
        <f t="shared" si="3"/>
        <v>874.25926936399219</v>
      </c>
      <c r="K19" s="4">
        <f t="shared" si="3"/>
        <v>889.4437966609039</v>
      </c>
      <c r="L19" s="4">
        <f t="shared" si="3"/>
        <v>904.26678759360345</v>
      </c>
      <c r="M19" s="4">
        <f t="shared" si="3"/>
        <v>919.08845356957966</v>
      </c>
      <c r="N19" s="4">
        <f t="shared" si="3"/>
        <v>933.91011954555586</v>
      </c>
      <c r="O19" s="4">
        <f t="shared" si="3"/>
        <v>948.73178552153206</v>
      </c>
      <c r="P19" s="4">
        <f t="shared" si="3"/>
        <v>963.55345149750826</v>
      </c>
      <c r="Q19" s="4">
        <f t="shared" si="3"/>
        <v>978.37511747348447</v>
      </c>
      <c r="R19" s="4">
        <f t="shared" si="3"/>
        <v>993.19678344946067</v>
      </c>
      <c r="S19" s="4">
        <f t="shared" si="3"/>
        <v>1008.0184494254368</v>
      </c>
      <c r="T19" s="4">
        <f t="shared" si="3"/>
        <v>1022.840115401413</v>
      </c>
      <c r="U19" s="4">
        <f t="shared" si="3"/>
        <v>1037.6617813773892</v>
      </c>
      <c r="V19" s="4">
        <f t="shared" si="3"/>
        <v>1052.4834473533654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x14ac:dyDescent="0.25">
      <c r="A20" s="5" t="s">
        <v>109</v>
      </c>
      <c r="B20" s="4">
        <f t="shared" ref="B20:AU20" si="4">(B16+B17)*$B8+B18</f>
        <v>56.032666666666664</v>
      </c>
      <c r="C20" s="4">
        <f t="shared" si="4"/>
        <v>57.154317460317458</v>
      </c>
      <c r="D20" s="4">
        <f t="shared" si="4"/>
        <v>58.486547996976569</v>
      </c>
      <c r="E20" s="4">
        <f t="shared" si="4"/>
        <v>59.916344473239036</v>
      </c>
      <c r="F20" s="4">
        <f t="shared" si="4"/>
        <v>61.553193414352393</v>
      </c>
      <c r="G20" s="4">
        <f t="shared" si="4"/>
        <v>64.331450714010671</v>
      </c>
      <c r="H20" s="4">
        <f t="shared" si="4"/>
        <v>66.249475898321151</v>
      </c>
      <c r="I20" s="4">
        <f t="shared" si="4"/>
        <v>67.519553728067194</v>
      </c>
      <c r="J20" s="4">
        <f t="shared" si="4"/>
        <v>68.759391609485931</v>
      </c>
      <c r="K20" s="4">
        <f t="shared" si="4"/>
        <v>69.969709541347086</v>
      </c>
      <c r="L20" s="4">
        <f t="shared" si="4"/>
        <v>71.151210379592499</v>
      </c>
      <c r="M20" s="4">
        <f t="shared" si="4"/>
        <v>71.951580342295216</v>
      </c>
      <c r="N20" s="4">
        <f t="shared" si="4"/>
        <v>72.751950304997933</v>
      </c>
      <c r="O20" s="4">
        <f t="shared" si="4"/>
        <v>73.552320267700651</v>
      </c>
      <c r="P20" s="4">
        <f t="shared" si="4"/>
        <v>74.352690230403368</v>
      </c>
      <c r="Q20" s="4">
        <f t="shared" si="4"/>
        <v>75.153060193106072</v>
      </c>
      <c r="R20" s="4">
        <f t="shared" si="4"/>
        <v>75.953430155808789</v>
      </c>
      <c r="S20" s="4">
        <f t="shared" si="4"/>
        <v>76.753800118511506</v>
      </c>
      <c r="T20" s="4">
        <f t="shared" si="4"/>
        <v>77.554170081214224</v>
      </c>
      <c r="U20" s="4">
        <f t="shared" si="4"/>
        <v>78.354540043916927</v>
      </c>
      <c r="V20" s="4">
        <f t="shared" si="4"/>
        <v>79.154910006619644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x14ac:dyDescent="0.25">
      <c r="A21" s="5" t="s">
        <v>110</v>
      </c>
      <c r="B21" s="11">
        <f>B20*(1/B11-1)</f>
        <v>56.032666666666664</v>
      </c>
      <c r="C21" s="4">
        <f t="shared" ref="C21:AU21" si="5">$B21*(1+$B$12)^(C15-$B15)</f>
        <v>56.592993333333332</v>
      </c>
      <c r="D21" s="4">
        <f t="shared" si="5"/>
        <v>57.158923266666662</v>
      </c>
      <c r="E21" s="4">
        <f t="shared" si="5"/>
        <v>57.730512499333322</v>
      </c>
      <c r="F21" s="4">
        <f t="shared" si="5"/>
        <v>58.307817624326667</v>
      </c>
      <c r="G21" s="4">
        <f t="shared" si="5"/>
        <v>58.890895800569929</v>
      </c>
      <c r="H21" s="4">
        <f t="shared" si="5"/>
        <v>59.479804758575639</v>
      </c>
      <c r="I21" s="4">
        <f t="shared" si="5"/>
        <v>60.07460280616138</v>
      </c>
      <c r="J21" s="4">
        <f t="shared" si="5"/>
        <v>60.675348834223009</v>
      </c>
      <c r="K21" s="4">
        <f t="shared" si="5"/>
        <v>61.282102322565244</v>
      </c>
      <c r="L21" s="4">
        <f t="shared" si="5"/>
        <v>61.894923345790893</v>
      </c>
      <c r="M21" s="4">
        <f t="shared" si="5"/>
        <v>62.51387257924879</v>
      </c>
      <c r="N21" s="4">
        <f t="shared" si="5"/>
        <v>63.139011305041279</v>
      </c>
      <c r="O21" s="4">
        <f t="shared" si="5"/>
        <v>63.770401418091694</v>
      </c>
      <c r="P21" s="4">
        <f t="shared" si="5"/>
        <v>64.40810543227262</v>
      </c>
      <c r="Q21" s="4">
        <f t="shared" si="5"/>
        <v>65.052186486595332</v>
      </c>
      <c r="R21" s="4">
        <f t="shared" si="5"/>
        <v>65.702708351461297</v>
      </c>
      <c r="S21" s="4">
        <f t="shared" si="5"/>
        <v>66.359735434975917</v>
      </c>
      <c r="T21" s="4">
        <f t="shared" si="5"/>
        <v>67.023332789325679</v>
      </c>
      <c r="U21" s="4">
        <f t="shared" si="5"/>
        <v>67.693566117218921</v>
      </c>
      <c r="V21" s="4">
        <f t="shared" si="5"/>
        <v>68.370501778391116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x14ac:dyDescent="0.25">
      <c r="A22" s="5" t="s">
        <v>111</v>
      </c>
      <c r="B22" s="4">
        <f t="shared" ref="B22:AU22" si="6">B20+B21</f>
        <v>112.06533333333333</v>
      </c>
      <c r="C22" s="4">
        <f t="shared" si="6"/>
        <v>113.7473107936508</v>
      </c>
      <c r="D22" s="4">
        <f t="shared" si="6"/>
        <v>115.64547126364323</v>
      </c>
      <c r="E22" s="4">
        <f t="shared" si="6"/>
        <v>117.64685697257235</v>
      </c>
      <c r="F22" s="4">
        <f t="shared" si="6"/>
        <v>119.86101103867907</v>
      </c>
      <c r="G22" s="4">
        <f t="shared" si="6"/>
        <v>123.22234651458061</v>
      </c>
      <c r="H22" s="4">
        <f t="shared" si="6"/>
        <v>125.72928065689679</v>
      </c>
      <c r="I22" s="4">
        <f t="shared" si="6"/>
        <v>127.59415653422857</v>
      </c>
      <c r="J22" s="4">
        <f t="shared" si="6"/>
        <v>129.43474044370893</v>
      </c>
      <c r="K22" s="4">
        <f t="shared" si="6"/>
        <v>131.25181186391234</v>
      </c>
      <c r="L22" s="4">
        <f t="shared" si="6"/>
        <v>133.04613372538338</v>
      </c>
      <c r="M22" s="4">
        <f t="shared" si="6"/>
        <v>134.465452921544</v>
      </c>
      <c r="N22" s="4">
        <f t="shared" si="6"/>
        <v>135.8909616100392</v>
      </c>
      <c r="O22" s="4">
        <f t="shared" si="6"/>
        <v>137.32272168579235</v>
      </c>
      <c r="P22" s="4">
        <f t="shared" si="6"/>
        <v>138.760795662676</v>
      </c>
      <c r="Q22" s="4">
        <f t="shared" si="6"/>
        <v>140.20524667970142</v>
      </c>
      <c r="R22" s="4">
        <f t="shared" si="6"/>
        <v>141.6561385072701</v>
      </c>
      <c r="S22" s="4">
        <f t="shared" si="6"/>
        <v>143.11353555348742</v>
      </c>
      <c r="T22" s="4">
        <f t="shared" si="6"/>
        <v>144.57750287053989</v>
      </c>
      <c r="U22" s="4">
        <f t="shared" si="6"/>
        <v>146.04810616113585</v>
      </c>
      <c r="V22" s="4">
        <f t="shared" si="6"/>
        <v>147.52541178501076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x14ac:dyDescent="0.25">
      <c r="A23" s="8" t="s">
        <v>112</v>
      </c>
      <c r="B23" s="9">
        <f t="shared" ref="B23:AU23" si="7">B22/$B22</f>
        <v>1</v>
      </c>
      <c r="C23" s="9">
        <f t="shared" si="7"/>
        <v>1.0150089007036145</v>
      </c>
      <c r="D23" s="9">
        <f t="shared" si="7"/>
        <v>1.0319468815540034</v>
      </c>
      <c r="E23" s="9">
        <f t="shared" si="7"/>
        <v>1.0498059790054524</v>
      </c>
      <c r="F23" s="9">
        <f t="shared" si="7"/>
        <v>1.0695636864092293</v>
      </c>
      <c r="G23" s="9">
        <f t="shared" si="7"/>
        <v>1.0995581135520407</v>
      </c>
      <c r="H23" s="9">
        <f t="shared" si="7"/>
        <v>1.1219284047718903</v>
      </c>
      <c r="I23" s="9">
        <f t="shared" si="7"/>
        <v>1.1385693750154247</v>
      </c>
      <c r="J23" s="9">
        <f t="shared" si="7"/>
        <v>1.1549935791357626</v>
      </c>
      <c r="K23" s="9">
        <f t="shared" si="7"/>
        <v>1.1712079727056153</v>
      </c>
      <c r="L23" s="9">
        <f t="shared" si="7"/>
        <v>1.1872193636335655</v>
      </c>
      <c r="M23" s="9">
        <f t="shared" si="7"/>
        <v>1.1998844684786019</v>
      </c>
      <c r="N23" s="9">
        <f t="shared" si="7"/>
        <v>1.2126048044299087</v>
      </c>
      <c r="O23" s="9">
        <f t="shared" si="7"/>
        <v>1.2253809237985491</v>
      </c>
      <c r="P23" s="9">
        <f t="shared" si="7"/>
        <v>1.2382133844186962</v>
      </c>
      <c r="Q23" s="9">
        <f t="shared" si="7"/>
        <v>1.2511027497028646</v>
      </c>
      <c r="R23" s="9">
        <f t="shared" si="7"/>
        <v>1.2640495886976952</v>
      </c>
      <c r="S23" s="9">
        <f t="shared" si="7"/>
        <v>1.277054476140294</v>
      </c>
      <c r="T23" s="9">
        <f t="shared" si="7"/>
        <v>1.2901179925151391</v>
      </c>
      <c r="U23" s="9">
        <f t="shared" si="7"/>
        <v>1.3032407241115527</v>
      </c>
      <c r="V23" s="9">
        <f t="shared" si="7"/>
        <v>1.3164232630817507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B24" s="12">
        <f t="shared" ref="B24:AU24" si="8">B20/B22</f>
        <v>0.5</v>
      </c>
      <c r="C24" s="12">
        <f t="shared" si="8"/>
        <v>0.50246741713306264</v>
      </c>
      <c r="D24" s="12">
        <f t="shared" si="8"/>
        <v>0.50574006364366508</v>
      </c>
      <c r="E24" s="12">
        <f t="shared" si="8"/>
        <v>0.50928980182792016</v>
      </c>
      <c r="F24" s="12">
        <f t="shared" si="8"/>
        <v>0.51353807948849373</v>
      </c>
      <c r="G24" s="12">
        <f t="shared" si="8"/>
        <v>0.52207616989665495</v>
      </c>
      <c r="H24" s="12">
        <f t="shared" si="8"/>
        <v>0.52692161724133024</v>
      </c>
      <c r="I24" s="12">
        <f t="shared" si="8"/>
        <v>0.5291743412242732</v>
      </c>
      <c r="J24" s="12">
        <f t="shared" si="8"/>
        <v>0.53122825737336987</v>
      </c>
      <c r="K24" s="12">
        <f t="shared" si="8"/>
        <v>0.53309518967932246</v>
      </c>
      <c r="L24" s="12">
        <f t="shared" si="8"/>
        <v>0.53478600532995291</v>
      </c>
      <c r="M24" s="12">
        <f t="shared" si="8"/>
        <v>0.53509342941994553</v>
      </c>
      <c r="N24" s="12">
        <f t="shared" si="8"/>
        <v>0.53537004553526724</v>
      </c>
      <c r="O24" s="12">
        <f t="shared" si="8"/>
        <v>0.53561653428334655</v>
      </c>
      <c r="P24" s="12">
        <f t="shared" si="8"/>
        <v>0.53583355352871342</v>
      </c>
      <c r="Q24" s="12">
        <f t="shared" si="8"/>
        <v>0.53602173936324282</v>
      </c>
      <c r="R24" s="12">
        <f t="shared" si="8"/>
        <v>0.53618170702790047</v>
      </c>
      <c r="S24" s="12">
        <f t="shared" si="8"/>
        <v>0.53631405178880132</v>
      </c>
      <c r="T24" s="12">
        <f t="shared" si="8"/>
        <v>0.5364193497702</v>
      </c>
      <c r="U24" s="12">
        <f t="shared" si="8"/>
        <v>0.53649815874687101</v>
      </c>
      <c r="V24" s="12">
        <f t="shared" si="8"/>
        <v>0.53655101889817014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7" spans="1:47" x14ac:dyDescent="0.25">
      <c r="A27" s="16" t="s">
        <v>113</v>
      </c>
      <c r="B27" s="17"/>
      <c r="C27" s="17"/>
      <c r="D27" s="17"/>
      <c r="E27" s="17"/>
      <c r="F27" s="17"/>
      <c r="G27" s="17"/>
      <c r="H27" s="17"/>
      <c r="I27" s="17"/>
    </row>
    <row r="28" spans="1:47" x14ac:dyDescent="0.25">
      <c r="B28" s="12"/>
      <c r="C28" s="12"/>
      <c r="D28" s="12"/>
      <c r="E28" s="1"/>
      <c r="F28" s="1">
        <v>2020</v>
      </c>
      <c r="G28" s="1">
        <v>2030</v>
      </c>
      <c r="H28" s="1">
        <v>2040</v>
      </c>
      <c r="I28" s="1">
        <v>2050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47" x14ac:dyDescent="0.25">
      <c r="A29" s="1" t="s">
        <v>114</v>
      </c>
      <c r="B29" s="11">
        <v>53</v>
      </c>
      <c r="C29" s="12" t="s">
        <v>115</v>
      </c>
      <c r="D29" s="12"/>
      <c r="E29" s="12" t="s">
        <v>116</v>
      </c>
      <c r="F29" s="11">
        <v>2589.5652110000001</v>
      </c>
      <c r="G29" s="11">
        <v>2041.0809650000001</v>
      </c>
      <c r="H29" s="11">
        <v>2995.9774860000002</v>
      </c>
      <c r="I29" s="11">
        <v>4629.9439591746877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47" x14ac:dyDescent="0.25">
      <c r="A30" s="1" t="s">
        <v>117</v>
      </c>
      <c r="B30" s="2">
        <v>2590</v>
      </c>
      <c r="C30" t="s">
        <v>116</v>
      </c>
      <c r="E30" t="s">
        <v>118</v>
      </c>
      <c r="F30" s="11">
        <f>F29*$B$31</f>
        <v>2071.6521688000003</v>
      </c>
      <c r="G30" s="11">
        <v>2041.0809650000001</v>
      </c>
      <c r="H30" s="11">
        <v>2995.9774860000002</v>
      </c>
      <c r="I30" s="11">
        <f>I29*$B$31</f>
        <v>3703.9551673397505</v>
      </c>
    </row>
    <row r="31" spans="1:47" x14ac:dyDescent="0.25">
      <c r="A31" s="1" t="s">
        <v>119</v>
      </c>
      <c r="B31" s="2">
        <v>0.8</v>
      </c>
      <c r="E31" t="s">
        <v>120</v>
      </c>
      <c r="F31" s="21">
        <f>F30/$F30</f>
        <v>1</v>
      </c>
      <c r="G31" s="21">
        <f>G30/$F30</f>
        <v>0.98524308073506928</v>
      </c>
      <c r="H31" s="21">
        <f>H30/$F30</f>
        <v>1.4461778531747504</v>
      </c>
      <c r="I31" s="21">
        <f>I30/$F30</f>
        <v>1.7879232928784845</v>
      </c>
    </row>
    <row r="32" spans="1:47" x14ac:dyDescent="0.25">
      <c r="A32" s="1" t="s">
        <v>121</v>
      </c>
      <c r="B32" s="14">
        <f>B30*B31*10^6*B29*10^-9</f>
        <v>109.816</v>
      </c>
      <c r="C32" t="s">
        <v>122</v>
      </c>
      <c r="E32" s="12" t="s">
        <v>123</v>
      </c>
      <c r="F32" s="13">
        <f>B23</f>
        <v>1</v>
      </c>
      <c r="G32" s="13">
        <f>L23</f>
        <v>1.1872193636335655</v>
      </c>
      <c r="H32" s="13">
        <f>V23</f>
        <v>1.3164232630817507</v>
      </c>
      <c r="I32" s="13">
        <f>AF23</f>
        <v>0</v>
      </c>
    </row>
    <row r="33" spans="1:9" x14ac:dyDescent="0.25">
      <c r="A33" s="19" t="s">
        <v>124</v>
      </c>
      <c r="B33" s="20">
        <f>(B32-B22)/B32</f>
        <v>-2.0482746897841166E-2</v>
      </c>
      <c r="E33" t="s">
        <v>125</v>
      </c>
      <c r="F33" s="14">
        <f>B32</f>
        <v>109.816</v>
      </c>
      <c r="G33" s="14">
        <f>$F33*G32</f>
        <v>130.37568163678364</v>
      </c>
      <c r="H33" s="14">
        <f>$F33*H32</f>
        <v>144.56433705858555</v>
      </c>
      <c r="I33" s="14">
        <f>$F33*I32</f>
        <v>0</v>
      </c>
    </row>
    <row r="34" spans="1:9" x14ac:dyDescent="0.25">
      <c r="E34" t="s">
        <v>126</v>
      </c>
      <c r="F34" s="14">
        <f>F33*1000/F30</f>
        <v>53.008898720488716</v>
      </c>
      <c r="G34" s="14">
        <f>G33*1000/G30</f>
        <v>63.875801044856459</v>
      </c>
      <c r="H34" s="14">
        <f>H33*1000/H30</f>
        <v>48.252811556203241</v>
      </c>
      <c r="I34" s="14">
        <f>I33*1000/I30</f>
        <v>0</v>
      </c>
    </row>
    <row r="35" spans="1:9" x14ac:dyDescent="0.25">
      <c r="E35" t="s">
        <v>131</v>
      </c>
      <c r="F35">
        <f>B22*1000/F30</f>
        <v>54.094666576313777</v>
      </c>
      <c r="G35">
        <f>L22*1000/G30</f>
        <v>65.184152910555099</v>
      </c>
      <c r="H35">
        <f>V22*1000/H30</f>
        <v>49.241161682418181</v>
      </c>
    </row>
    <row r="36" spans="1:9" x14ac:dyDescent="0.25">
      <c r="A36" t="s">
        <v>127</v>
      </c>
      <c r="B36" t="s">
        <v>128</v>
      </c>
      <c r="C36" t="s">
        <v>98</v>
      </c>
      <c r="F36" s="1">
        <v>2018</v>
      </c>
      <c r="G36" s="1">
        <v>2030</v>
      </c>
      <c r="H36" s="1">
        <v>2040</v>
      </c>
      <c r="I36" s="1">
        <v>2050</v>
      </c>
    </row>
    <row r="37" spans="1:9" x14ac:dyDescent="0.25">
      <c r="A37" t="s">
        <v>129</v>
      </c>
      <c r="B37">
        <v>80</v>
      </c>
      <c r="C37">
        <v>80</v>
      </c>
    </row>
    <row r="39" spans="1:9" x14ac:dyDescent="0.25">
      <c r="A39" t="s">
        <v>130</v>
      </c>
      <c r="B39">
        <v>66</v>
      </c>
      <c r="C39">
        <v>2022</v>
      </c>
      <c r="I39">
        <f>32*3.3</f>
        <v>105.6</v>
      </c>
    </row>
    <row r="40" spans="1:9" x14ac:dyDescent="0.25">
      <c r="I40">
        <f>129+105</f>
        <v>234</v>
      </c>
    </row>
    <row r="41" spans="1:9" x14ac:dyDescent="0.25">
      <c r="B41" s="18"/>
      <c r="I41">
        <f>I40/3.7</f>
        <v>63.243243243243242</v>
      </c>
    </row>
    <row r="45" spans="1:9" x14ac:dyDescent="0.25">
      <c r="F45">
        <v>1.82</v>
      </c>
    </row>
    <row r="46" spans="1:9" x14ac:dyDescent="0.25">
      <c r="F46">
        <f>4630/2590</f>
        <v>1.7876447876447876</v>
      </c>
    </row>
    <row r="47" spans="1:9" x14ac:dyDescent="0.25">
      <c r="F47">
        <f>1.82/1.7876</f>
        <v>1.018124860147684</v>
      </c>
    </row>
    <row r="48" spans="1:9" x14ac:dyDescent="0.25">
      <c r="F48">
        <f>54/53</f>
        <v>1.0188679245283019</v>
      </c>
    </row>
    <row r="50" spans="1:1" x14ac:dyDescent="0.25">
      <c r="A50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Inputs_PyPSA</vt:lpstr>
      <vt:lpstr>Mapping</vt:lpstr>
      <vt:lpstr>Sheet1</vt:lpstr>
      <vt:lpstr>Sheet1 (2)</vt:lpstr>
      <vt:lpstr>Original_Sheet1</vt:lpstr>
      <vt:lpstr>PyPSA_Build</vt:lpstr>
      <vt:lpstr>PyPSA_85pct</vt:lpstr>
      <vt:lpstr>PyPSA_75pct</vt:lpstr>
      <vt:lpstr>PyPSA_65pct</vt:lpstr>
      <vt:lpstr>PyPSA_50pct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Heinen</dc:creator>
  <cp:lastModifiedBy>Amedeo CECCATO</cp:lastModifiedBy>
  <dcterms:created xsi:type="dcterms:W3CDTF">2024-03-25T08:36:56Z</dcterms:created>
  <dcterms:modified xsi:type="dcterms:W3CDTF">2026-08-18T16:17:19Z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0x01010051043DF050309246BC24501B977C98B400E83CF9A4B325464B9FA5CF466E7AA835</vt:lpwstr>
  </property>
  <property fmtid="{D5CDD505-2E9C-101B-9397-08002B2CF9AE}" pid="3" name="MediaServiceImageTags">
    <vt:lpwstr/>
  </property>
</Properties>
</file>